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RW\Excel\New folder\"/>
    </mc:Choice>
  </mc:AlternateContent>
  <xr:revisionPtr revIDLastSave="0" documentId="8_{19EBC4BD-3A1F-4971-932C-A5F6FBBE821B}" xr6:coauthVersionLast="47" xr6:coauthVersionMax="47" xr10:uidLastSave="{00000000-0000-0000-0000-000000000000}"/>
  <bookViews>
    <workbookView xWindow="-108" yWindow="-108" windowWidth="23256" windowHeight="13176" tabRatio="852" activeTab="1" xr2:uid="{00000000-000D-0000-FFFF-FFFF00000000}"/>
  </bookViews>
  <sheets>
    <sheet name="shoes_sales_dataset" sheetId="1" r:id="rId1"/>
    <sheet name="Dashboard" sheetId="12" r:id="rId2"/>
    <sheet name="Filter By Shoe Type" sheetId="3" r:id="rId3"/>
    <sheet name="Top 10 Customer" sheetId="5" r:id="rId4"/>
    <sheet name="Linear Regression" sheetId="4" r:id="rId5"/>
    <sheet name="Revenue by Brand" sheetId="6" r:id="rId6"/>
    <sheet name="Monthly Sales" sheetId="7" r:id="rId7"/>
    <sheet name="Sales Channel Share" sheetId="8" r:id="rId8"/>
    <sheet name="Revenue by Country" sheetId="9" r:id="rId9"/>
    <sheet name="Price and Reavenue by Country" sheetId="10" r:id="rId10"/>
    <sheet name="Sum Revenue &amp; Sum Adjust Revenu" sheetId="11" r:id="rId11"/>
  </sheets>
  <definedNames>
    <definedName name="NativeTimeline_Date">#N/A</definedName>
    <definedName name="Slicer_Brand">#N/A</definedName>
    <definedName name="Slicer_Country">#N/A</definedName>
  </definedNames>
  <calcPr calcId="191029"/>
  <pivotCaches>
    <pivotCache cacheId="3" r:id="rId12"/>
    <pivotCache cacheId="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I1002" i="1" l="1"/>
  <c r="P1002" i="1"/>
  <c r="J1002" i="1"/>
  <c r="P4" i="1" l="1"/>
  <c r="M2" i="1"/>
  <c r="I13" i="5"/>
  <c r="I14" i="5"/>
  <c r="I15" i="5"/>
  <c r="I16" i="5"/>
  <c r="I8" i="5"/>
  <c r="H12" i="5"/>
  <c r="H13" i="5"/>
  <c r="H14" i="5"/>
  <c r="H8" i="5"/>
  <c r="G9" i="5"/>
  <c r="G14" i="5"/>
  <c r="G15" i="5"/>
  <c r="G8" i="5"/>
  <c r="F13" i="5"/>
  <c r="F14" i="5"/>
  <c r="F15" i="5"/>
  <c r="F16" i="5"/>
  <c r="F17" i="5"/>
  <c r="F8" i="5"/>
  <c r="E8" i="5"/>
  <c r="D8" i="5"/>
  <c r="D11" i="5"/>
  <c r="D14" i="5"/>
  <c r="D15" i="5"/>
  <c r="D16" i="5"/>
  <c r="J8" i="5"/>
  <c r="J9" i="5"/>
  <c r="I9" i="5" s="1"/>
  <c r="J10" i="5"/>
  <c r="H10" i="5" s="1"/>
  <c r="J11" i="5"/>
  <c r="H11" i="5" s="1"/>
  <c r="J12" i="5"/>
  <c r="E12" i="5" s="1"/>
  <c r="J13" i="5"/>
  <c r="E13" i="5" s="1"/>
  <c r="J14" i="5"/>
  <c r="E14" i="5" s="1"/>
  <c r="J15" i="5"/>
  <c r="E15" i="5" s="1"/>
  <c r="J16" i="5"/>
  <c r="G16" i="5" s="1"/>
  <c r="J17" i="5"/>
  <c r="D17" i="5" s="1"/>
  <c r="K2" i="1"/>
  <c r="L2" i="1"/>
  <c r="P2" i="1"/>
  <c r="K3" i="1"/>
  <c r="L3" i="1"/>
  <c r="M3" i="1"/>
  <c r="N3" i="1"/>
  <c r="P3" i="1"/>
  <c r="K4" i="1"/>
  <c r="L4" i="1"/>
  <c r="M4" i="1"/>
  <c r="N4" i="1"/>
  <c r="K5" i="1"/>
  <c r="L5" i="1"/>
  <c r="M5" i="1"/>
  <c r="N5" i="1"/>
  <c r="P5" i="1"/>
  <c r="K6" i="1"/>
  <c r="L6" i="1"/>
  <c r="M6" i="1"/>
  <c r="N6" i="1"/>
  <c r="P6" i="1"/>
  <c r="K7" i="1"/>
  <c r="L7" i="1"/>
  <c r="M7" i="1"/>
  <c r="N7" i="1"/>
  <c r="P7" i="1"/>
  <c r="K8" i="1"/>
  <c r="L8" i="1"/>
  <c r="M8" i="1"/>
  <c r="N8" i="1"/>
  <c r="P8" i="1"/>
  <c r="K9" i="1"/>
  <c r="L9" i="1"/>
  <c r="M9" i="1"/>
  <c r="N9" i="1"/>
  <c r="P9" i="1"/>
  <c r="K10" i="1"/>
  <c r="L10" i="1"/>
  <c r="M10" i="1"/>
  <c r="N10" i="1"/>
  <c r="P10" i="1"/>
  <c r="K11" i="1"/>
  <c r="L11" i="1"/>
  <c r="M11" i="1"/>
  <c r="N11" i="1"/>
  <c r="P11" i="1"/>
  <c r="K12" i="1"/>
  <c r="L12" i="1"/>
  <c r="M12" i="1"/>
  <c r="N12" i="1"/>
  <c r="P12" i="1"/>
  <c r="K13" i="1"/>
  <c r="L13" i="1"/>
  <c r="M13" i="1"/>
  <c r="N13" i="1"/>
  <c r="P13" i="1"/>
  <c r="K14" i="1"/>
  <c r="L14" i="1"/>
  <c r="M14" i="1"/>
  <c r="N14" i="1"/>
  <c r="P14" i="1"/>
  <c r="K15" i="1"/>
  <c r="L15" i="1"/>
  <c r="M15" i="1"/>
  <c r="N15" i="1"/>
  <c r="P15" i="1"/>
  <c r="K16" i="1"/>
  <c r="L16" i="1"/>
  <c r="M16" i="1"/>
  <c r="N16" i="1"/>
  <c r="P16" i="1"/>
  <c r="K17" i="1"/>
  <c r="L17" i="1"/>
  <c r="M17" i="1"/>
  <c r="N17" i="1"/>
  <c r="P17" i="1"/>
  <c r="K18" i="1"/>
  <c r="L18" i="1"/>
  <c r="M18" i="1"/>
  <c r="N18" i="1"/>
  <c r="P18" i="1"/>
  <c r="K19" i="1"/>
  <c r="L19" i="1"/>
  <c r="M19" i="1"/>
  <c r="N19" i="1"/>
  <c r="P19" i="1"/>
  <c r="K20" i="1"/>
  <c r="L20" i="1"/>
  <c r="M20" i="1"/>
  <c r="N20" i="1"/>
  <c r="P20" i="1"/>
  <c r="K21" i="1"/>
  <c r="L21" i="1"/>
  <c r="M21" i="1"/>
  <c r="N21" i="1"/>
  <c r="P21" i="1"/>
  <c r="K22" i="1"/>
  <c r="L22" i="1"/>
  <c r="M22" i="1"/>
  <c r="N22" i="1"/>
  <c r="P22" i="1"/>
  <c r="K23" i="1"/>
  <c r="L23" i="1"/>
  <c r="M23" i="1"/>
  <c r="N23" i="1"/>
  <c r="P23" i="1"/>
  <c r="K24" i="1"/>
  <c r="L24" i="1"/>
  <c r="M24" i="1"/>
  <c r="N24" i="1"/>
  <c r="P24" i="1"/>
  <c r="K25" i="1"/>
  <c r="L25" i="1"/>
  <c r="M25" i="1"/>
  <c r="N25" i="1"/>
  <c r="P25" i="1"/>
  <c r="K26" i="1"/>
  <c r="L26" i="1"/>
  <c r="M26" i="1"/>
  <c r="N26" i="1"/>
  <c r="P26" i="1"/>
  <c r="K27" i="1"/>
  <c r="L27" i="1"/>
  <c r="M27" i="1"/>
  <c r="N27" i="1"/>
  <c r="P27" i="1"/>
  <c r="K28" i="1"/>
  <c r="L28" i="1"/>
  <c r="M28" i="1"/>
  <c r="N28" i="1"/>
  <c r="P28" i="1"/>
  <c r="K29" i="1"/>
  <c r="L29" i="1"/>
  <c r="M29" i="1"/>
  <c r="N29" i="1"/>
  <c r="P29" i="1"/>
  <c r="K30" i="1"/>
  <c r="L30" i="1"/>
  <c r="M30" i="1"/>
  <c r="N30" i="1"/>
  <c r="P30" i="1"/>
  <c r="K31" i="1"/>
  <c r="L31" i="1"/>
  <c r="M31" i="1"/>
  <c r="N31" i="1"/>
  <c r="P31" i="1"/>
  <c r="K32" i="1"/>
  <c r="L32" i="1"/>
  <c r="M32" i="1"/>
  <c r="N32" i="1"/>
  <c r="P32" i="1"/>
  <c r="K33" i="1"/>
  <c r="L33" i="1"/>
  <c r="M33" i="1"/>
  <c r="N33" i="1"/>
  <c r="P33" i="1"/>
  <c r="K34" i="1"/>
  <c r="L34" i="1"/>
  <c r="M34" i="1"/>
  <c r="N34" i="1"/>
  <c r="P34" i="1"/>
  <c r="K35" i="1"/>
  <c r="L35" i="1"/>
  <c r="M35" i="1"/>
  <c r="N35" i="1"/>
  <c r="P35" i="1"/>
  <c r="K36" i="1"/>
  <c r="L36" i="1"/>
  <c r="M36" i="1"/>
  <c r="N36" i="1"/>
  <c r="P36" i="1"/>
  <c r="K37" i="1"/>
  <c r="L37" i="1"/>
  <c r="M37" i="1"/>
  <c r="N37" i="1"/>
  <c r="P37" i="1"/>
  <c r="K38" i="1"/>
  <c r="L38" i="1"/>
  <c r="M38" i="1"/>
  <c r="N38" i="1"/>
  <c r="P38" i="1"/>
  <c r="K39" i="1"/>
  <c r="L39" i="1"/>
  <c r="M39" i="1"/>
  <c r="N39" i="1"/>
  <c r="P39" i="1"/>
  <c r="K40" i="1"/>
  <c r="L40" i="1"/>
  <c r="M40" i="1"/>
  <c r="N40" i="1"/>
  <c r="P40" i="1"/>
  <c r="K41" i="1"/>
  <c r="L41" i="1"/>
  <c r="M41" i="1"/>
  <c r="N41" i="1"/>
  <c r="P41" i="1"/>
  <c r="K42" i="1"/>
  <c r="L42" i="1"/>
  <c r="M42" i="1"/>
  <c r="N42" i="1"/>
  <c r="P42" i="1"/>
  <c r="K43" i="1"/>
  <c r="L43" i="1"/>
  <c r="M43" i="1"/>
  <c r="N43" i="1"/>
  <c r="P43" i="1"/>
  <c r="K44" i="1"/>
  <c r="L44" i="1"/>
  <c r="M44" i="1"/>
  <c r="N44" i="1"/>
  <c r="P44" i="1"/>
  <c r="K45" i="1"/>
  <c r="L45" i="1"/>
  <c r="M45" i="1"/>
  <c r="N45" i="1"/>
  <c r="P45" i="1"/>
  <c r="K46" i="1"/>
  <c r="L46" i="1"/>
  <c r="M46" i="1"/>
  <c r="N46" i="1"/>
  <c r="P46" i="1"/>
  <c r="K47" i="1"/>
  <c r="L47" i="1"/>
  <c r="M47" i="1"/>
  <c r="N47" i="1"/>
  <c r="P47" i="1"/>
  <c r="K48" i="1"/>
  <c r="L48" i="1"/>
  <c r="M48" i="1"/>
  <c r="N48" i="1"/>
  <c r="P48" i="1"/>
  <c r="K49" i="1"/>
  <c r="L49" i="1"/>
  <c r="M49" i="1"/>
  <c r="N49" i="1"/>
  <c r="P49" i="1"/>
  <c r="K50" i="1"/>
  <c r="L50" i="1"/>
  <c r="M50" i="1"/>
  <c r="N50" i="1"/>
  <c r="P50" i="1"/>
  <c r="K51" i="1"/>
  <c r="L51" i="1"/>
  <c r="M51" i="1"/>
  <c r="N51" i="1"/>
  <c r="P51" i="1"/>
  <c r="K52" i="1"/>
  <c r="L52" i="1"/>
  <c r="M52" i="1"/>
  <c r="N52" i="1"/>
  <c r="P52" i="1"/>
  <c r="K53" i="1"/>
  <c r="L53" i="1"/>
  <c r="M53" i="1"/>
  <c r="N53" i="1"/>
  <c r="P53" i="1"/>
  <c r="K54" i="1"/>
  <c r="L54" i="1"/>
  <c r="M54" i="1"/>
  <c r="N54" i="1"/>
  <c r="P54" i="1"/>
  <c r="K55" i="1"/>
  <c r="L55" i="1"/>
  <c r="M55" i="1"/>
  <c r="N55" i="1"/>
  <c r="P55" i="1"/>
  <c r="K56" i="1"/>
  <c r="L56" i="1"/>
  <c r="M56" i="1"/>
  <c r="N56" i="1"/>
  <c r="P56" i="1"/>
  <c r="K57" i="1"/>
  <c r="L57" i="1"/>
  <c r="M57" i="1"/>
  <c r="N57" i="1"/>
  <c r="P57" i="1"/>
  <c r="K58" i="1"/>
  <c r="L58" i="1"/>
  <c r="M58" i="1"/>
  <c r="N58" i="1"/>
  <c r="P58" i="1"/>
  <c r="K59" i="1"/>
  <c r="L59" i="1"/>
  <c r="M59" i="1"/>
  <c r="N59" i="1"/>
  <c r="P59" i="1"/>
  <c r="K60" i="1"/>
  <c r="L60" i="1"/>
  <c r="M60" i="1"/>
  <c r="N60" i="1"/>
  <c r="P60" i="1"/>
  <c r="K61" i="1"/>
  <c r="L61" i="1"/>
  <c r="M61" i="1"/>
  <c r="N61" i="1"/>
  <c r="P61" i="1"/>
  <c r="K62" i="1"/>
  <c r="L62" i="1"/>
  <c r="M62" i="1"/>
  <c r="N62" i="1"/>
  <c r="P62" i="1"/>
  <c r="K63" i="1"/>
  <c r="L63" i="1"/>
  <c r="M63" i="1"/>
  <c r="N63" i="1"/>
  <c r="P63" i="1"/>
  <c r="K64" i="1"/>
  <c r="L64" i="1"/>
  <c r="M64" i="1"/>
  <c r="N64" i="1"/>
  <c r="P64" i="1"/>
  <c r="K65" i="1"/>
  <c r="L65" i="1"/>
  <c r="M65" i="1"/>
  <c r="N65" i="1"/>
  <c r="P65" i="1"/>
  <c r="K66" i="1"/>
  <c r="L66" i="1"/>
  <c r="M66" i="1"/>
  <c r="N66" i="1"/>
  <c r="P66" i="1"/>
  <c r="K67" i="1"/>
  <c r="L67" i="1"/>
  <c r="M67" i="1"/>
  <c r="N67" i="1"/>
  <c r="P67" i="1"/>
  <c r="K68" i="1"/>
  <c r="L68" i="1"/>
  <c r="M68" i="1"/>
  <c r="N68" i="1"/>
  <c r="P68" i="1"/>
  <c r="K69" i="1"/>
  <c r="L69" i="1"/>
  <c r="M69" i="1"/>
  <c r="N69" i="1"/>
  <c r="P69" i="1"/>
  <c r="K70" i="1"/>
  <c r="L70" i="1"/>
  <c r="M70" i="1"/>
  <c r="N70" i="1"/>
  <c r="P70" i="1"/>
  <c r="K71" i="1"/>
  <c r="L71" i="1"/>
  <c r="M71" i="1"/>
  <c r="N71" i="1"/>
  <c r="P71" i="1"/>
  <c r="K72" i="1"/>
  <c r="L72" i="1"/>
  <c r="M72" i="1"/>
  <c r="N72" i="1"/>
  <c r="P72" i="1"/>
  <c r="K73" i="1"/>
  <c r="L73" i="1"/>
  <c r="M73" i="1"/>
  <c r="N73" i="1"/>
  <c r="P73" i="1"/>
  <c r="K74" i="1"/>
  <c r="L74" i="1"/>
  <c r="M74" i="1"/>
  <c r="N74" i="1"/>
  <c r="P74" i="1"/>
  <c r="K75" i="1"/>
  <c r="L75" i="1"/>
  <c r="M75" i="1"/>
  <c r="N75" i="1"/>
  <c r="P75" i="1"/>
  <c r="K76" i="1"/>
  <c r="L76" i="1"/>
  <c r="M76" i="1"/>
  <c r="N76" i="1"/>
  <c r="P76" i="1"/>
  <c r="K77" i="1"/>
  <c r="L77" i="1"/>
  <c r="M77" i="1"/>
  <c r="N77" i="1"/>
  <c r="P77" i="1"/>
  <c r="K78" i="1"/>
  <c r="L78" i="1"/>
  <c r="M78" i="1"/>
  <c r="N78" i="1"/>
  <c r="P78" i="1"/>
  <c r="K79" i="1"/>
  <c r="L79" i="1"/>
  <c r="M79" i="1"/>
  <c r="N79" i="1"/>
  <c r="P79" i="1"/>
  <c r="K80" i="1"/>
  <c r="L80" i="1"/>
  <c r="M80" i="1"/>
  <c r="N80" i="1"/>
  <c r="P80" i="1"/>
  <c r="K81" i="1"/>
  <c r="L81" i="1"/>
  <c r="M81" i="1"/>
  <c r="N81" i="1"/>
  <c r="P81" i="1"/>
  <c r="K82" i="1"/>
  <c r="L82" i="1"/>
  <c r="M82" i="1"/>
  <c r="N82" i="1"/>
  <c r="P82" i="1"/>
  <c r="K83" i="1"/>
  <c r="L83" i="1"/>
  <c r="M83" i="1"/>
  <c r="N83" i="1"/>
  <c r="P83" i="1"/>
  <c r="K84" i="1"/>
  <c r="L84" i="1"/>
  <c r="M84" i="1"/>
  <c r="N84" i="1"/>
  <c r="P84" i="1"/>
  <c r="K85" i="1"/>
  <c r="L85" i="1"/>
  <c r="M85" i="1"/>
  <c r="N85" i="1"/>
  <c r="P85" i="1"/>
  <c r="K86" i="1"/>
  <c r="L86" i="1"/>
  <c r="M86" i="1"/>
  <c r="N86" i="1"/>
  <c r="P86" i="1"/>
  <c r="K87" i="1"/>
  <c r="L87" i="1"/>
  <c r="M87" i="1"/>
  <c r="N87" i="1"/>
  <c r="P87" i="1"/>
  <c r="K88" i="1"/>
  <c r="L88" i="1"/>
  <c r="M88" i="1"/>
  <c r="N88" i="1"/>
  <c r="P88" i="1"/>
  <c r="K89" i="1"/>
  <c r="L89" i="1"/>
  <c r="M89" i="1"/>
  <c r="N89" i="1"/>
  <c r="P89" i="1"/>
  <c r="K90" i="1"/>
  <c r="L90" i="1"/>
  <c r="M90" i="1"/>
  <c r="N90" i="1"/>
  <c r="P90" i="1"/>
  <c r="K91" i="1"/>
  <c r="L91" i="1"/>
  <c r="M91" i="1"/>
  <c r="N91" i="1"/>
  <c r="P91" i="1"/>
  <c r="K92" i="1"/>
  <c r="L92" i="1"/>
  <c r="M92" i="1"/>
  <c r="N92" i="1"/>
  <c r="P92" i="1"/>
  <c r="K93" i="1"/>
  <c r="L93" i="1"/>
  <c r="M93" i="1"/>
  <c r="N93" i="1"/>
  <c r="P93" i="1"/>
  <c r="K94" i="1"/>
  <c r="L94" i="1"/>
  <c r="M94" i="1"/>
  <c r="N94" i="1"/>
  <c r="P94" i="1"/>
  <c r="K95" i="1"/>
  <c r="L95" i="1"/>
  <c r="M95" i="1"/>
  <c r="N95" i="1"/>
  <c r="P95" i="1"/>
  <c r="K96" i="1"/>
  <c r="L96" i="1"/>
  <c r="M96" i="1"/>
  <c r="N96" i="1"/>
  <c r="P96" i="1"/>
  <c r="K97" i="1"/>
  <c r="L97" i="1"/>
  <c r="M97" i="1"/>
  <c r="N97" i="1"/>
  <c r="P97" i="1"/>
  <c r="K98" i="1"/>
  <c r="L98" i="1"/>
  <c r="M98" i="1"/>
  <c r="N98" i="1"/>
  <c r="P98" i="1"/>
  <c r="K99" i="1"/>
  <c r="L99" i="1"/>
  <c r="M99" i="1"/>
  <c r="N99" i="1"/>
  <c r="P99" i="1"/>
  <c r="K100" i="1"/>
  <c r="L100" i="1"/>
  <c r="M100" i="1"/>
  <c r="N100" i="1"/>
  <c r="P100" i="1"/>
  <c r="K101" i="1"/>
  <c r="L101" i="1"/>
  <c r="M101" i="1"/>
  <c r="N101" i="1"/>
  <c r="P101" i="1"/>
  <c r="K102" i="1"/>
  <c r="L102" i="1"/>
  <c r="M102" i="1"/>
  <c r="N102" i="1"/>
  <c r="P102" i="1"/>
  <c r="K103" i="1"/>
  <c r="L103" i="1"/>
  <c r="M103" i="1"/>
  <c r="N103" i="1"/>
  <c r="P103" i="1"/>
  <c r="K104" i="1"/>
  <c r="L104" i="1"/>
  <c r="M104" i="1"/>
  <c r="N104" i="1"/>
  <c r="P104" i="1"/>
  <c r="K105" i="1"/>
  <c r="L105" i="1"/>
  <c r="M105" i="1"/>
  <c r="N105" i="1"/>
  <c r="P105" i="1"/>
  <c r="K106" i="1"/>
  <c r="L106" i="1"/>
  <c r="M106" i="1"/>
  <c r="N106" i="1"/>
  <c r="P106" i="1"/>
  <c r="K107" i="1"/>
  <c r="L107" i="1"/>
  <c r="M107" i="1"/>
  <c r="N107" i="1"/>
  <c r="P107" i="1"/>
  <c r="K108" i="1"/>
  <c r="L108" i="1"/>
  <c r="M108" i="1"/>
  <c r="N108" i="1"/>
  <c r="P108" i="1"/>
  <c r="K109" i="1"/>
  <c r="L109" i="1"/>
  <c r="M109" i="1"/>
  <c r="N109" i="1"/>
  <c r="P109" i="1"/>
  <c r="K110" i="1"/>
  <c r="L110" i="1"/>
  <c r="M110" i="1"/>
  <c r="N110" i="1"/>
  <c r="P110" i="1"/>
  <c r="K111" i="1"/>
  <c r="L111" i="1"/>
  <c r="M111" i="1"/>
  <c r="N111" i="1"/>
  <c r="P111" i="1"/>
  <c r="K112" i="1"/>
  <c r="L112" i="1"/>
  <c r="M112" i="1"/>
  <c r="N112" i="1"/>
  <c r="P112" i="1"/>
  <c r="K113" i="1"/>
  <c r="L113" i="1"/>
  <c r="M113" i="1"/>
  <c r="N113" i="1"/>
  <c r="P113" i="1"/>
  <c r="K114" i="1"/>
  <c r="L114" i="1"/>
  <c r="M114" i="1"/>
  <c r="N114" i="1"/>
  <c r="P114" i="1"/>
  <c r="K115" i="1"/>
  <c r="L115" i="1"/>
  <c r="M115" i="1"/>
  <c r="N115" i="1"/>
  <c r="P115" i="1"/>
  <c r="K116" i="1"/>
  <c r="L116" i="1"/>
  <c r="M116" i="1"/>
  <c r="N116" i="1"/>
  <c r="P116" i="1"/>
  <c r="K117" i="1"/>
  <c r="L117" i="1"/>
  <c r="M117" i="1"/>
  <c r="N117" i="1"/>
  <c r="P117" i="1"/>
  <c r="K118" i="1"/>
  <c r="L118" i="1"/>
  <c r="M118" i="1"/>
  <c r="N118" i="1"/>
  <c r="P118" i="1"/>
  <c r="K119" i="1"/>
  <c r="L119" i="1"/>
  <c r="M119" i="1"/>
  <c r="N119" i="1"/>
  <c r="P119" i="1"/>
  <c r="K120" i="1"/>
  <c r="L120" i="1"/>
  <c r="M120" i="1"/>
  <c r="N120" i="1"/>
  <c r="P120" i="1"/>
  <c r="K121" i="1"/>
  <c r="L121" i="1"/>
  <c r="M121" i="1"/>
  <c r="N121" i="1"/>
  <c r="P121" i="1"/>
  <c r="K122" i="1"/>
  <c r="L122" i="1"/>
  <c r="M122" i="1"/>
  <c r="N122" i="1"/>
  <c r="P122" i="1"/>
  <c r="K123" i="1"/>
  <c r="L123" i="1"/>
  <c r="M123" i="1"/>
  <c r="N123" i="1"/>
  <c r="P123" i="1"/>
  <c r="K124" i="1"/>
  <c r="L124" i="1"/>
  <c r="M124" i="1"/>
  <c r="N124" i="1"/>
  <c r="P124" i="1"/>
  <c r="K125" i="1"/>
  <c r="L125" i="1"/>
  <c r="M125" i="1"/>
  <c r="N125" i="1"/>
  <c r="P125" i="1"/>
  <c r="K126" i="1"/>
  <c r="L126" i="1"/>
  <c r="M126" i="1"/>
  <c r="N126" i="1"/>
  <c r="P126" i="1"/>
  <c r="K127" i="1"/>
  <c r="L127" i="1"/>
  <c r="M127" i="1"/>
  <c r="N127" i="1"/>
  <c r="P127" i="1"/>
  <c r="K128" i="1"/>
  <c r="L128" i="1"/>
  <c r="M128" i="1"/>
  <c r="N128" i="1"/>
  <c r="P128" i="1"/>
  <c r="K129" i="1"/>
  <c r="L129" i="1"/>
  <c r="M129" i="1"/>
  <c r="N129" i="1"/>
  <c r="P129" i="1"/>
  <c r="K130" i="1"/>
  <c r="L130" i="1"/>
  <c r="M130" i="1"/>
  <c r="N130" i="1"/>
  <c r="P130" i="1"/>
  <c r="K131" i="1"/>
  <c r="L131" i="1"/>
  <c r="M131" i="1"/>
  <c r="N131" i="1"/>
  <c r="P131" i="1"/>
  <c r="K132" i="1"/>
  <c r="L132" i="1"/>
  <c r="M132" i="1"/>
  <c r="N132" i="1"/>
  <c r="P132" i="1"/>
  <c r="K133" i="1"/>
  <c r="L133" i="1"/>
  <c r="M133" i="1"/>
  <c r="N133" i="1"/>
  <c r="P133" i="1"/>
  <c r="K134" i="1"/>
  <c r="L134" i="1"/>
  <c r="M134" i="1"/>
  <c r="N134" i="1"/>
  <c r="P134" i="1"/>
  <c r="K135" i="1"/>
  <c r="L135" i="1"/>
  <c r="M135" i="1"/>
  <c r="N135" i="1"/>
  <c r="P135" i="1"/>
  <c r="K136" i="1"/>
  <c r="L136" i="1"/>
  <c r="M136" i="1"/>
  <c r="N136" i="1"/>
  <c r="P136" i="1"/>
  <c r="K137" i="1"/>
  <c r="L137" i="1"/>
  <c r="M137" i="1"/>
  <c r="N137" i="1"/>
  <c r="P137" i="1"/>
  <c r="K138" i="1"/>
  <c r="L138" i="1"/>
  <c r="M138" i="1"/>
  <c r="N138" i="1"/>
  <c r="P138" i="1"/>
  <c r="K139" i="1"/>
  <c r="L139" i="1"/>
  <c r="M139" i="1"/>
  <c r="N139" i="1"/>
  <c r="P139" i="1"/>
  <c r="K140" i="1"/>
  <c r="L140" i="1"/>
  <c r="M140" i="1"/>
  <c r="N140" i="1"/>
  <c r="P140" i="1"/>
  <c r="K141" i="1"/>
  <c r="L141" i="1"/>
  <c r="M141" i="1"/>
  <c r="N141" i="1"/>
  <c r="P141" i="1"/>
  <c r="K142" i="1"/>
  <c r="L142" i="1"/>
  <c r="M142" i="1"/>
  <c r="N142" i="1"/>
  <c r="P142" i="1"/>
  <c r="K143" i="1"/>
  <c r="L143" i="1"/>
  <c r="M143" i="1"/>
  <c r="N143" i="1"/>
  <c r="P143" i="1"/>
  <c r="K144" i="1"/>
  <c r="L144" i="1"/>
  <c r="M144" i="1"/>
  <c r="N144" i="1"/>
  <c r="P144" i="1"/>
  <c r="K145" i="1"/>
  <c r="L145" i="1"/>
  <c r="M145" i="1"/>
  <c r="N145" i="1"/>
  <c r="P145" i="1"/>
  <c r="K146" i="1"/>
  <c r="L146" i="1"/>
  <c r="M146" i="1"/>
  <c r="N146" i="1"/>
  <c r="P146" i="1"/>
  <c r="K147" i="1"/>
  <c r="L147" i="1"/>
  <c r="M147" i="1"/>
  <c r="N147" i="1"/>
  <c r="P147" i="1"/>
  <c r="K148" i="1"/>
  <c r="L148" i="1"/>
  <c r="M148" i="1"/>
  <c r="N148" i="1"/>
  <c r="P148" i="1"/>
  <c r="K149" i="1"/>
  <c r="L149" i="1"/>
  <c r="M149" i="1"/>
  <c r="N149" i="1"/>
  <c r="P149" i="1"/>
  <c r="K150" i="1"/>
  <c r="L150" i="1"/>
  <c r="M150" i="1"/>
  <c r="N150" i="1"/>
  <c r="P150" i="1"/>
  <c r="K151" i="1"/>
  <c r="L151" i="1"/>
  <c r="M151" i="1"/>
  <c r="N151" i="1"/>
  <c r="P151" i="1"/>
  <c r="K152" i="1"/>
  <c r="L152" i="1"/>
  <c r="M152" i="1"/>
  <c r="N152" i="1"/>
  <c r="P152" i="1"/>
  <c r="K153" i="1"/>
  <c r="L153" i="1"/>
  <c r="M153" i="1"/>
  <c r="N153" i="1"/>
  <c r="P153" i="1"/>
  <c r="K154" i="1"/>
  <c r="L154" i="1"/>
  <c r="M154" i="1"/>
  <c r="N154" i="1"/>
  <c r="P154" i="1"/>
  <c r="K155" i="1"/>
  <c r="L155" i="1"/>
  <c r="M155" i="1"/>
  <c r="N155" i="1"/>
  <c r="P155" i="1"/>
  <c r="K156" i="1"/>
  <c r="L156" i="1"/>
  <c r="M156" i="1"/>
  <c r="N156" i="1"/>
  <c r="P156" i="1"/>
  <c r="K157" i="1"/>
  <c r="L157" i="1"/>
  <c r="M157" i="1"/>
  <c r="N157" i="1"/>
  <c r="P157" i="1"/>
  <c r="K158" i="1"/>
  <c r="L158" i="1"/>
  <c r="M158" i="1"/>
  <c r="N158" i="1"/>
  <c r="P158" i="1"/>
  <c r="K159" i="1"/>
  <c r="L159" i="1"/>
  <c r="M159" i="1"/>
  <c r="N159" i="1"/>
  <c r="P159" i="1"/>
  <c r="K160" i="1"/>
  <c r="L160" i="1"/>
  <c r="M160" i="1"/>
  <c r="N160" i="1"/>
  <c r="P160" i="1"/>
  <c r="K161" i="1"/>
  <c r="L161" i="1"/>
  <c r="M161" i="1"/>
  <c r="N161" i="1"/>
  <c r="P161" i="1"/>
  <c r="K162" i="1"/>
  <c r="L162" i="1"/>
  <c r="M162" i="1"/>
  <c r="N162" i="1"/>
  <c r="P162" i="1"/>
  <c r="K163" i="1"/>
  <c r="L163" i="1"/>
  <c r="M163" i="1"/>
  <c r="N163" i="1"/>
  <c r="P163" i="1"/>
  <c r="K164" i="1"/>
  <c r="L164" i="1"/>
  <c r="M164" i="1"/>
  <c r="N164" i="1"/>
  <c r="P164" i="1"/>
  <c r="K165" i="1"/>
  <c r="L165" i="1"/>
  <c r="M165" i="1"/>
  <c r="N165" i="1"/>
  <c r="P165" i="1"/>
  <c r="K166" i="1"/>
  <c r="L166" i="1"/>
  <c r="M166" i="1"/>
  <c r="N166" i="1"/>
  <c r="P166" i="1"/>
  <c r="K167" i="1"/>
  <c r="L167" i="1"/>
  <c r="M167" i="1"/>
  <c r="N167" i="1"/>
  <c r="P167" i="1"/>
  <c r="K168" i="1"/>
  <c r="L168" i="1"/>
  <c r="M168" i="1"/>
  <c r="N168" i="1"/>
  <c r="P168" i="1"/>
  <c r="K169" i="1"/>
  <c r="L169" i="1"/>
  <c r="M169" i="1"/>
  <c r="N169" i="1"/>
  <c r="P169" i="1"/>
  <c r="K170" i="1"/>
  <c r="L170" i="1"/>
  <c r="M170" i="1"/>
  <c r="N170" i="1"/>
  <c r="P170" i="1"/>
  <c r="K171" i="1"/>
  <c r="L171" i="1"/>
  <c r="M171" i="1"/>
  <c r="N171" i="1"/>
  <c r="P171" i="1"/>
  <c r="K172" i="1"/>
  <c r="L172" i="1"/>
  <c r="M172" i="1"/>
  <c r="N172" i="1"/>
  <c r="P172" i="1"/>
  <c r="K173" i="1"/>
  <c r="L173" i="1"/>
  <c r="M173" i="1"/>
  <c r="N173" i="1"/>
  <c r="P173" i="1"/>
  <c r="K174" i="1"/>
  <c r="L174" i="1"/>
  <c r="M174" i="1"/>
  <c r="N174" i="1"/>
  <c r="P174" i="1"/>
  <c r="K175" i="1"/>
  <c r="L175" i="1"/>
  <c r="M175" i="1"/>
  <c r="N175" i="1"/>
  <c r="P175" i="1"/>
  <c r="K176" i="1"/>
  <c r="L176" i="1"/>
  <c r="M176" i="1"/>
  <c r="N176" i="1"/>
  <c r="P176" i="1"/>
  <c r="K177" i="1"/>
  <c r="L177" i="1"/>
  <c r="M177" i="1"/>
  <c r="N177" i="1"/>
  <c r="P177" i="1"/>
  <c r="K178" i="1"/>
  <c r="L178" i="1"/>
  <c r="M178" i="1"/>
  <c r="N178" i="1"/>
  <c r="P178" i="1"/>
  <c r="K179" i="1"/>
  <c r="L179" i="1"/>
  <c r="M179" i="1"/>
  <c r="N179" i="1"/>
  <c r="P179" i="1"/>
  <c r="K180" i="1"/>
  <c r="L180" i="1"/>
  <c r="M180" i="1"/>
  <c r="N180" i="1"/>
  <c r="P180" i="1"/>
  <c r="K181" i="1"/>
  <c r="L181" i="1"/>
  <c r="M181" i="1"/>
  <c r="N181" i="1"/>
  <c r="P181" i="1"/>
  <c r="K182" i="1"/>
  <c r="L182" i="1"/>
  <c r="M182" i="1"/>
  <c r="N182" i="1"/>
  <c r="P182" i="1"/>
  <c r="K183" i="1"/>
  <c r="L183" i="1"/>
  <c r="M183" i="1"/>
  <c r="N183" i="1"/>
  <c r="P183" i="1"/>
  <c r="K184" i="1"/>
  <c r="L184" i="1"/>
  <c r="M184" i="1"/>
  <c r="N184" i="1"/>
  <c r="P184" i="1"/>
  <c r="K185" i="1"/>
  <c r="L185" i="1"/>
  <c r="M185" i="1"/>
  <c r="N185" i="1"/>
  <c r="P185" i="1"/>
  <c r="K186" i="1"/>
  <c r="L186" i="1"/>
  <c r="M186" i="1"/>
  <c r="N186" i="1"/>
  <c r="P186" i="1"/>
  <c r="K187" i="1"/>
  <c r="L187" i="1"/>
  <c r="M187" i="1"/>
  <c r="N187" i="1"/>
  <c r="P187" i="1"/>
  <c r="K188" i="1"/>
  <c r="L188" i="1"/>
  <c r="M188" i="1"/>
  <c r="N188" i="1"/>
  <c r="P188" i="1"/>
  <c r="K189" i="1"/>
  <c r="L189" i="1"/>
  <c r="M189" i="1"/>
  <c r="N189" i="1"/>
  <c r="P189" i="1"/>
  <c r="K190" i="1"/>
  <c r="L190" i="1"/>
  <c r="M190" i="1"/>
  <c r="N190" i="1"/>
  <c r="P190" i="1"/>
  <c r="K191" i="1"/>
  <c r="L191" i="1"/>
  <c r="M191" i="1"/>
  <c r="N191" i="1"/>
  <c r="P191" i="1"/>
  <c r="K192" i="1"/>
  <c r="L192" i="1"/>
  <c r="M192" i="1"/>
  <c r="N192" i="1"/>
  <c r="P192" i="1"/>
  <c r="K193" i="1"/>
  <c r="L193" i="1"/>
  <c r="M193" i="1"/>
  <c r="N193" i="1"/>
  <c r="P193" i="1"/>
  <c r="K194" i="1"/>
  <c r="L194" i="1"/>
  <c r="M194" i="1"/>
  <c r="N194" i="1"/>
  <c r="P194" i="1"/>
  <c r="K195" i="1"/>
  <c r="L195" i="1"/>
  <c r="M195" i="1"/>
  <c r="N195" i="1"/>
  <c r="P195" i="1"/>
  <c r="K196" i="1"/>
  <c r="L196" i="1"/>
  <c r="M196" i="1"/>
  <c r="N196" i="1"/>
  <c r="P196" i="1"/>
  <c r="K197" i="1"/>
  <c r="L197" i="1"/>
  <c r="M197" i="1"/>
  <c r="N197" i="1"/>
  <c r="P197" i="1"/>
  <c r="K198" i="1"/>
  <c r="L198" i="1"/>
  <c r="M198" i="1"/>
  <c r="N198" i="1"/>
  <c r="P198" i="1"/>
  <c r="K199" i="1"/>
  <c r="L199" i="1"/>
  <c r="M199" i="1"/>
  <c r="N199" i="1"/>
  <c r="P199" i="1"/>
  <c r="K200" i="1"/>
  <c r="L200" i="1"/>
  <c r="M200" i="1"/>
  <c r="N200" i="1"/>
  <c r="P200" i="1"/>
  <c r="K201" i="1"/>
  <c r="L201" i="1"/>
  <c r="M201" i="1"/>
  <c r="N201" i="1"/>
  <c r="P201" i="1"/>
  <c r="K202" i="1"/>
  <c r="L202" i="1"/>
  <c r="M202" i="1"/>
  <c r="N202" i="1"/>
  <c r="P202" i="1"/>
  <c r="K203" i="1"/>
  <c r="L203" i="1"/>
  <c r="M203" i="1"/>
  <c r="N203" i="1"/>
  <c r="P203" i="1"/>
  <c r="K204" i="1"/>
  <c r="L204" i="1"/>
  <c r="M204" i="1"/>
  <c r="N204" i="1"/>
  <c r="P204" i="1"/>
  <c r="K205" i="1"/>
  <c r="L205" i="1"/>
  <c r="M205" i="1"/>
  <c r="N205" i="1"/>
  <c r="P205" i="1"/>
  <c r="K206" i="1"/>
  <c r="L206" i="1"/>
  <c r="M206" i="1"/>
  <c r="N206" i="1"/>
  <c r="P206" i="1"/>
  <c r="K207" i="1"/>
  <c r="L207" i="1"/>
  <c r="M207" i="1"/>
  <c r="N207" i="1"/>
  <c r="P207" i="1"/>
  <c r="K208" i="1"/>
  <c r="L208" i="1"/>
  <c r="M208" i="1"/>
  <c r="N208" i="1"/>
  <c r="P208" i="1"/>
  <c r="K209" i="1"/>
  <c r="L209" i="1"/>
  <c r="M209" i="1"/>
  <c r="N209" i="1"/>
  <c r="P209" i="1"/>
  <c r="K210" i="1"/>
  <c r="L210" i="1"/>
  <c r="M210" i="1"/>
  <c r="N210" i="1"/>
  <c r="P210" i="1"/>
  <c r="K211" i="1"/>
  <c r="L211" i="1"/>
  <c r="M211" i="1"/>
  <c r="N211" i="1"/>
  <c r="P211" i="1"/>
  <c r="K212" i="1"/>
  <c r="L212" i="1"/>
  <c r="M212" i="1"/>
  <c r="N212" i="1"/>
  <c r="P212" i="1"/>
  <c r="K213" i="1"/>
  <c r="L213" i="1"/>
  <c r="M213" i="1"/>
  <c r="N213" i="1"/>
  <c r="P213" i="1"/>
  <c r="K214" i="1"/>
  <c r="L214" i="1"/>
  <c r="M214" i="1"/>
  <c r="N214" i="1"/>
  <c r="P214" i="1"/>
  <c r="K215" i="1"/>
  <c r="L215" i="1"/>
  <c r="M215" i="1"/>
  <c r="N215" i="1"/>
  <c r="P215" i="1"/>
  <c r="K216" i="1"/>
  <c r="L216" i="1"/>
  <c r="M216" i="1"/>
  <c r="N216" i="1"/>
  <c r="P216" i="1"/>
  <c r="K217" i="1"/>
  <c r="L217" i="1"/>
  <c r="M217" i="1"/>
  <c r="N217" i="1"/>
  <c r="P217" i="1"/>
  <c r="K218" i="1"/>
  <c r="L218" i="1"/>
  <c r="M218" i="1"/>
  <c r="N218" i="1"/>
  <c r="P218" i="1"/>
  <c r="K219" i="1"/>
  <c r="L219" i="1"/>
  <c r="M219" i="1"/>
  <c r="N219" i="1"/>
  <c r="P219" i="1"/>
  <c r="K220" i="1"/>
  <c r="L220" i="1"/>
  <c r="M220" i="1"/>
  <c r="N220" i="1"/>
  <c r="P220" i="1"/>
  <c r="K221" i="1"/>
  <c r="L221" i="1"/>
  <c r="M221" i="1"/>
  <c r="N221" i="1"/>
  <c r="P221" i="1"/>
  <c r="K222" i="1"/>
  <c r="L222" i="1"/>
  <c r="M222" i="1"/>
  <c r="N222" i="1"/>
  <c r="P222" i="1"/>
  <c r="K223" i="1"/>
  <c r="L223" i="1"/>
  <c r="M223" i="1"/>
  <c r="N223" i="1"/>
  <c r="P223" i="1"/>
  <c r="K224" i="1"/>
  <c r="L224" i="1"/>
  <c r="M224" i="1"/>
  <c r="N224" i="1"/>
  <c r="P224" i="1"/>
  <c r="K225" i="1"/>
  <c r="L225" i="1"/>
  <c r="M225" i="1"/>
  <c r="N225" i="1"/>
  <c r="P225" i="1"/>
  <c r="K226" i="1"/>
  <c r="L226" i="1"/>
  <c r="M226" i="1"/>
  <c r="N226" i="1"/>
  <c r="P226" i="1"/>
  <c r="K227" i="1"/>
  <c r="L227" i="1"/>
  <c r="M227" i="1"/>
  <c r="N227" i="1"/>
  <c r="P227" i="1"/>
  <c r="K228" i="1"/>
  <c r="L228" i="1"/>
  <c r="M228" i="1"/>
  <c r="N228" i="1"/>
  <c r="P228" i="1"/>
  <c r="K229" i="1"/>
  <c r="L229" i="1"/>
  <c r="M229" i="1"/>
  <c r="N229" i="1"/>
  <c r="P229" i="1"/>
  <c r="K230" i="1"/>
  <c r="L230" i="1"/>
  <c r="M230" i="1"/>
  <c r="N230" i="1"/>
  <c r="P230" i="1"/>
  <c r="K231" i="1"/>
  <c r="L231" i="1"/>
  <c r="M231" i="1"/>
  <c r="N231" i="1"/>
  <c r="P231" i="1"/>
  <c r="K232" i="1"/>
  <c r="L232" i="1"/>
  <c r="M232" i="1"/>
  <c r="N232" i="1"/>
  <c r="P232" i="1"/>
  <c r="K233" i="1"/>
  <c r="L233" i="1"/>
  <c r="M233" i="1"/>
  <c r="N233" i="1"/>
  <c r="P233" i="1"/>
  <c r="K234" i="1"/>
  <c r="L234" i="1"/>
  <c r="M234" i="1"/>
  <c r="N234" i="1"/>
  <c r="P234" i="1"/>
  <c r="K235" i="1"/>
  <c r="L235" i="1"/>
  <c r="M235" i="1"/>
  <c r="N235" i="1"/>
  <c r="P235" i="1"/>
  <c r="K236" i="1"/>
  <c r="L236" i="1"/>
  <c r="M236" i="1"/>
  <c r="N236" i="1"/>
  <c r="P236" i="1"/>
  <c r="K237" i="1"/>
  <c r="L237" i="1"/>
  <c r="M237" i="1"/>
  <c r="N237" i="1"/>
  <c r="P237" i="1"/>
  <c r="K238" i="1"/>
  <c r="L238" i="1"/>
  <c r="M238" i="1"/>
  <c r="N238" i="1"/>
  <c r="P238" i="1"/>
  <c r="K239" i="1"/>
  <c r="L239" i="1"/>
  <c r="M239" i="1"/>
  <c r="N239" i="1"/>
  <c r="P239" i="1"/>
  <c r="K240" i="1"/>
  <c r="L240" i="1"/>
  <c r="M240" i="1"/>
  <c r="N240" i="1"/>
  <c r="P240" i="1"/>
  <c r="K241" i="1"/>
  <c r="L241" i="1"/>
  <c r="M241" i="1"/>
  <c r="N241" i="1"/>
  <c r="P241" i="1"/>
  <c r="K242" i="1"/>
  <c r="L242" i="1"/>
  <c r="M242" i="1"/>
  <c r="N242" i="1"/>
  <c r="P242" i="1"/>
  <c r="K243" i="1"/>
  <c r="L243" i="1"/>
  <c r="M243" i="1"/>
  <c r="N243" i="1"/>
  <c r="P243" i="1"/>
  <c r="K244" i="1"/>
  <c r="L244" i="1"/>
  <c r="M244" i="1"/>
  <c r="N244" i="1"/>
  <c r="P244" i="1"/>
  <c r="K245" i="1"/>
  <c r="L245" i="1"/>
  <c r="M245" i="1"/>
  <c r="N245" i="1"/>
  <c r="P245" i="1"/>
  <c r="K246" i="1"/>
  <c r="L246" i="1"/>
  <c r="M246" i="1"/>
  <c r="N246" i="1"/>
  <c r="P246" i="1"/>
  <c r="K247" i="1"/>
  <c r="L247" i="1"/>
  <c r="M247" i="1"/>
  <c r="N247" i="1"/>
  <c r="P247" i="1"/>
  <c r="K248" i="1"/>
  <c r="L248" i="1"/>
  <c r="M248" i="1"/>
  <c r="N248" i="1"/>
  <c r="P248" i="1"/>
  <c r="K249" i="1"/>
  <c r="L249" i="1"/>
  <c r="M249" i="1"/>
  <c r="N249" i="1"/>
  <c r="P249" i="1"/>
  <c r="K250" i="1"/>
  <c r="L250" i="1"/>
  <c r="M250" i="1"/>
  <c r="N250" i="1"/>
  <c r="P250" i="1"/>
  <c r="K251" i="1"/>
  <c r="L251" i="1"/>
  <c r="M251" i="1"/>
  <c r="N251" i="1"/>
  <c r="P251" i="1"/>
  <c r="K252" i="1"/>
  <c r="L252" i="1"/>
  <c r="M252" i="1"/>
  <c r="N252" i="1"/>
  <c r="P252" i="1"/>
  <c r="K253" i="1"/>
  <c r="L253" i="1"/>
  <c r="M253" i="1"/>
  <c r="N253" i="1"/>
  <c r="P253" i="1"/>
  <c r="K254" i="1"/>
  <c r="L254" i="1"/>
  <c r="M254" i="1"/>
  <c r="N254" i="1"/>
  <c r="P254" i="1"/>
  <c r="K255" i="1"/>
  <c r="L255" i="1"/>
  <c r="M255" i="1"/>
  <c r="N255" i="1"/>
  <c r="P255" i="1"/>
  <c r="K256" i="1"/>
  <c r="L256" i="1"/>
  <c r="M256" i="1"/>
  <c r="N256" i="1"/>
  <c r="P256" i="1"/>
  <c r="K257" i="1"/>
  <c r="L257" i="1"/>
  <c r="M257" i="1"/>
  <c r="N257" i="1"/>
  <c r="P257" i="1"/>
  <c r="K258" i="1"/>
  <c r="L258" i="1"/>
  <c r="M258" i="1"/>
  <c r="N258" i="1"/>
  <c r="P258" i="1"/>
  <c r="K259" i="1"/>
  <c r="L259" i="1"/>
  <c r="M259" i="1"/>
  <c r="N259" i="1"/>
  <c r="P259" i="1"/>
  <c r="K260" i="1"/>
  <c r="L260" i="1"/>
  <c r="M260" i="1"/>
  <c r="N260" i="1"/>
  <c r="P260" i="1"/>
  <c r="K261" i="1"/>
  <c r="L261" i="1"/>
  <c r="M261" i="1"/>
  <c r="N261" i="1"/>
  <c r="P261" i="1"/>
  <c r="K262" i="1"/>
  <c r="L262" i="1"/>
  <c r="M262" i="1"/>
  <c r="N262" i="1"/>
  <c r="P262" i="1"/>
  <c r="K263" i="1"/>
  <c r="L263" i="1"/>
  <c r="M263" i="1"/>
  <c r="N263" i="1"/>
  <c r="P263" i="1"/>
  <c r="K264" i="1"/>
  <c r="L264" i="1"/>
  <c r="M264" i="1"/>
  <c r="N264" i="1"/>
  <c r="P264" i="1"/>
  <c r="K265" i="1"/>
  <c r="L265" i="1"/>
  <c r="M265" i="1"/>
  <c r="N265" i="1"/>
  <c r="P265" i="1"/>
  <c r="K266" i="1"/>
  <c r="L266" i="1"/>
  <c r="M266" i="1"/>
  <c r="N266" i="1"/>
  <c r="P266" i="1"/>
  <c r="K267" i="1"/>
  <c r="L267" i="1"/>
  <c r="M267" i="1"/>
  <c r="N267" i="1"/>
  <c r="P267" i="1"/>
  <c r="K268" i="1"/>
  <c r="L268" i="1"/>
  <c r="M268" i="1"/>
  <c r="N268" i="1"/>
  <c r="P268" i="1"/>
  <c r="K269" i="1"/>
  <c r="L269" i="1"/>
  <c r="M269" i="1"/>
  <c r="N269" i="1"/>
  <c r="P269" i="1"/>
  <c r="K270" i="1"/>
  <c r="L270" i="1"/>
  <c r="M270" i="1"/>
  <c r="N270" i="1"/>
  <c r="P270" i="1"/>
  <c r="K271" i="1"/>
  <c r="L271" i="1"/>
  <c r="M271" i="1"/>
  <c r="N271" i="1"/>
  <c r="P271" i="1"/>
  <c r="K272" i="1"/>
  <c r="L272" i="1"/>
  <c r="M272" i="1"/>
  <c r="N272" i="1"/>
  <c r="P272" i="1"/>
  <c r="K273" i="1"/>
  <c r="L273" i="1"/>
  <c r="M273" i="1"/>
  <c r="N273" i="1"/>
  <c r="P273" i="1"/>
  <c r="K274" i="1"/>
  <c r="L274" i="1"/>
  <c r="M274" i="1"/>
  <c r="N274" i="1"/>
  <c r="P274" i="1"/>
  <c r="K275" i="1"/>
  <c r="L275" i="1"/>
  <c r="M275" i="1"/>
  <c r="N275" i="1"/>
  <c r="P275" i="1"/>
  <c r="K276" i="1"/>
  <c r="L276" i="1"/>
  <c r="M276" i="1"/>
  <c r="N276" i="1"/>
  <c r="P276" i="1"/>
  <c r="K277" i="1"/>
  <c r="L277" i="1"/>
  <c r="M277" i="1"/>
  <c r="N277" i="1"/>
  <c r="P277" i="1"/>
  <c r="K278" i="1"/>
  <c r="L278" i="1"/>
  <c r="M278" i="1"/>
  <c r="N278" i="1"/>
  <c r="P278" i="1"/>
  <c r="K279" i="1"/>
  <c r="L279" i="1"/>
  <c r="M279" i="1"/>
  <c r="N279" i="1"/>
  <c r="P279" i="1"/>
  <c r="K280" i="1"/>
  <c r="L280" i="1"/>
  <c r="M280" i="1"/>
  <c r="N280" i="1"/>
  <c r="P280" i="1"/>
  <c r="K281" i="1"/>
  <c r="L281" i="1"/>
  <c r="M281" i="1"/>
  <c r="N281" i="1"/>
  <c r="P281" i="1"/>
  <c r="K282" i="1"/>
  <c r="L282" i="1"/>
  <c r="M282" i="1"/>
  <c r="N282" i="1"/>
  <c r="P282" i="1"/>
  <c r="K283" i="1"/>
  <c r="L283" i="1"/>
  <c r="M283" i="1"/>
  <c r="N283" i="1"/>
  <c r="P283" i="1"/>
  <c r="K284" i="1"/>
  <c r="L284" i="1"/>
  <c r="M284" i="1"/>
  <c r="N284" i="1"/>
  <c r="P284" i="1"/>
  <c r="K285" i="1"/>
  <c r="L285" i="1"/>
  <c r="M285" i="1"/>
  <c r="N285" i="1"/>
  <c r="P285" i="1"/>
  <c r="K286" i="1"/>
  <c r="L286" i="1"/>
  <c r="M286" i="1"/>
  <c r="N286" i="1"/>
  <c r="P286" i="1"/>
  <c r="K287" i="1"/>
  <c r="L287" i="1"/>
  <c r="M287" i="1"/>
  <c r="N287" i="1"/>
  <c r="P287" i="1"/>
  <c r="K288" i="1"/>
  <c r="L288" i="1"/>
  <c r="M288" i="1"/>
  <c r="N288" i="1"/>
  <c r="P288" i="1"/>
  <c r="K289" i="1"/>
  <c r="L289" i="1"/>
  <c r="M289" i="1"/>
  <c r="N289" i="1"/>
  <c r="P289" i="1"/>
  <c r="K290" i="1"/>
  <c r="L290" i="1"/>
  <c r="M290" i="1"/>
  <c r="N290" i="1"/>
  <c r="P290" i="1"/>
  <c r="K291" i="1"/>
  <c r="L291" i="1"/>
  <c r="M291" i="1"/>
  <c r="N291" i="1"/>
  <c r="P291" i="1"/>
  <c r="K292" i="1"/>
  <c r="L292" i="1"/>
  <c r="M292" i="1"/>
  <c r="N292" i="1"/>
  <c r="P292" i="1"/>
  <c r="K293" i="1"/>
  <c r="L293" i="1"/>
  <c r="M293" i="1"/>
  <c r="N293" i="1"/>
  <c r="P293" i="1"/>
  <c r="K294" i="1"/>
  <c r="L294" i="1"/>
  <c r="M294" i="1"/>
  <c r="N294" i="1"/>
  <c r="P294" i="1"/>
  <c r="K295" i="1"/>
  <c r="L295" i="1"/>
  <c r="M295" i="1"/>
  <c r="N295" i="1"/>
  <c r="P295" i="1"/>
  <c r="K296" i="1"/>
  <c r="L296" i="1"/>
  <c r="M296" i="1"/>
  <c r="N296" i="1"/>
  <c r="P296" i="1"/>
  <c r="K297" i="1"/>
  <c r="L297" i="1"/>
  <c r="M297" i="1"/>
  <c r="N297" i="1"/>
  <c r="P297" i="1"/>
  <c r="K298" i="1"/>
  <c r="L298" i="1"/>
  <c r="M298" i="1"/>
  <c r="N298" i="1"/>
  <c r="P298" i="1"/>
  <c r="K299" i="1"/>
  <c r="L299" i="1"/>
  <c r="M299" i="1"/>
  <c r="N299" i="1"/>
  <c r="P299" i="1"/>
  <c r="K300" i="1"/>
  <c r="L300" i="1"/>
  <c r="M300" i="1"/>
  <c r="N300" i="1"/>
  <c r="P300" i="1"/>
  <c r="K301" i="1"/>
  <c r="L301" i="1"/>
  <c r="M301" i="1"/>
  <c r="N301" i="1"/>
  <c r="P301" i="1"/>
  <c r="K302" i="1"/>
  <c r="L302" i="1"/>
  <c r="M302" i="1"/>
  <c r="N302" i="1"/>
  <c r="P302" i="1"/>
  <c r="K303" i="1"/>
  <c r="L303" i="1"/>
  <c r="M303" i="1"/>
  <c r="N303" i="1"/>
  <c r="P303" i="1"/>
  <c r="K304" i="1"/>
  <c r="L304" i="1"/>
  <c r="M304" i="1"/>
  <c r="N304" i="1"/>
  <c r="P304" i="1"/>
  <c r="K305" i="1"/>
  <c r="L305" i="1"/>
  <c r="M305" i="1"/>
  <c r="N305" i="1"/>
  <c r="P305" i="1"/>
  <c r="K306" i="1"/>
  <c r="L306" i="1"/>
  <c r="M306" i="1"/>
  <c r="N306" i="1"/>
  <c r="P306" i="1"/>
  <c r="K307" i="1"/>
  <c r="L307" i="1"/>
  <c r="M307" i="1"/>
  <c r="N307" i="1"/>
  <c r="P307" i="1"/>
  <c r="K308" i="1"/>
  <c r="L308" i="1"/>
  <c r="M308" i="1"/>
  <c r="N308" i="1"/>
  <c r="P308" i="1"/>
  <c r="K309" i="1"/>
  <c r="L309" i="1"/>
  <c r="M309" i="1"/>
  <c r="N309" i="1"/>
  <c r="P309" i="1"/>
  <c r="K310" i="1"/>
  <c r="L310" i="1"/>
  <c r="M310" i="1"/>
  <c r="N310" i="1"/>
  <c r="P310" i="1"/>
  <c r="K311" i="1"/>
  <c r="L311" i="1"/>
  <c r="M311" i="1"/>
  <c r="N311" i="1"/>
  <c r="P311" i="1"/>
  <c r="K312" i="1"/>
  <c r="L312" i="1"/>
  <c r="M312" i="1"/>
  <c r="N312" i="1"/>
  <c r="P312" i="1"/>
  <c r="K313" i="1"/>
  <c r="L313" i="1"/>
  <c r="M313" i="1"/>
  <c r="N313" i="1"/>
  <c r="P313" i="1"/>
  <c r="K314" i="1"/>
  <c r="L314" i="1"/>
  <c r="M314" i="1"/>
  <c r="N314" i="1"/>
  <c r="P314" i="1"/>
  <c r="K315" i="1"/>
  <c r="L315" i="1"/>
  <c r="M315" i="1"/>
  <c r="N315" i="1"/>
  <c r="P315" i="1"/>
  <c r="K316" i="1"/>
  <c r="L316" i="1"/>
  <c r="M316" i="1"/>
  <c r="N316" i="1"/>
  <c r="P316" i="1"/>
  <c r="K317" i="1"/>
  <c r="L317" i="1"/>
  <c r="M317" i="1"/>
  <c r="N317" i="1"/>
  <c r="P317" i="1"/>
  <c r="K318" i="1"/>
  <c r="L318" i="1"/>
  <c r="M318" i="1"/>
  <c r="N318" i="1"/>
  <c r="P318" i="1"/>
  <c r="K319" i="1"/>
  <c r="L319" i="1"/>
  <c r="M319" i="1"/>
  <c r="N319" i="1"/>
  <c r="P319" i="1"/>
  <c r="K320" i="1"/>
  <c r="L320" i="1"/>
  <c r="M320" i="1"/>
  <c r="N320" i="1"/>
  <c r="P320" i="1"/>
  <c r="K321" i="1"/>
  <c r="L321" i="1"/>
  <c r="M321" i="1"/>
  <c r="N321" i="1"/>
  <c r="P321" i="1"/>
  <c r="K322" i="1"/>
  <c r="L322" i="1"/>
  <c r="M322" i="1"/>
  <c r="N322" i="1"/>
  <c r="P322" i="1"/>
  <c r="K323" i="1"/>
  <c r="L323" i="1"/>
  <c r="M323" i="1"/>
  <c r="N323" i="1"/>
  <c r="P323" i="1"/>
  <c r="K324" i="1"/>
  <c r="L324" i="1"/>
  <c r="M324" i="1"/>
  <c r="N324" i="1"/>
  <c r="P324" i="1"/>
  <c r="K325" i="1"/>
  <c r="L325" i="1"/>
  <c r="M325" i="1"/>
  <c r="N325" i="1"/>
  <c r="P325" i="1"/>
  <c r="K326" i="1"/>
  <c r="L326" i="1"/>
  <c r="M326" i="1"/>
  <c r="N326" i="1"/>
  <c r="P326" i="1"/>
  <c r="K327" i="1"/>
  <c r="L327" i="1"/>
  <c r="M327" i="1"/>
  <c r="N327" i="1"/>
  <c r="P327" i="1"/>
  <c r="K328" i="1"/>
  <c r="L328" i="1"/>
  <c r="M328" i="1"/>
  <c r="N328" i="1"/>
  <c r="P328" i="1"/>
  <c r="K329" i="1"/>
  <c r="L329" i="1"/>
  <c r="M329" i="1"/>
  <c r="N329" i="1"/>
  <c r="P329" i="1"/>
  <c r="K330" i="1"/>
  <c r="L330" i="1"/>
  <c r="M330" i="1"/>
  <c r="N330" i="1"/>
  <c r="P330" i="1"/>
  <c r="K331" i="1"/>
  <c r="L331" i="1"/>
  <c r="M331" i="1"/>
  <c r="N331" i="1"/>
  <c r="P331" i="1"/>
  <c r="K332" i="1"/>
  <c r="L332" i="1"/>
  <c r="M332" i="1"/>
  <c r="N332" i="1"/>
  <c r="P332" i="1"/>
  <c r="K333" i="1"/>
  <c r="L333" i="1"/>
  <c r="M333" i="1"/>
  <c r="N333" i="1"/>
  <c r="P333" i="1"/>
  <c r="K334" i="1"/>
  <c r="L334" i="1"/>
  <c r="M334" i="1"/>
  <c r="N334" i="1"/>
  <c r="P334" i="1"/>
  <c r="K335" i="1"/>
  <c r="L335" i="1"/>
  <c r="M335" i="1"/>
  <c r="N335" i="1"/>
  <c r="P335" i="1"/>
  <c r="K336" i="1"/>
  <c r="L336" i="1"/>
  <c r="M336" i="1"/>
  <c r="N336" i="1"/>
  <c r="P336" i="1"/>
  <c r="K337" i="1"/>
  <c r="L337" i="1"/>
  <c r="M337" i="1"/>
  <c r="N337" i="1"/>
  <c r="P337" i="1"/>
  <c r="K338" i="1"/>
  <c r="L338" i="1"/>
  <c r="M338" i="1"/>
  <c r="N338" i="1"/>
  <c r="P338" i="1"/>
  <c r="K339" i="1"/>
  <c r="L339" i="1"/>
  <c r="M339" i="1"/>
  <c r="N339" i="1"/>
  <c r="P339" i="1"/>
  <c r="K340" i="1"/>
  <c r="L340" i="1"/>
  <c r="M340" i="1"/>
  <c r="N340" i="1"/>
  <c r="P340" i="1"/>
  <c r="K341" i="1"/>
  <c r="L341" i="1"/>
  <c r="M341" i="1"/>
  <c r="N341" i="1"/>
  <c r="P341" i="1"/>
  <c r="K342" i="1"/>
  <c r="L342" i="1"/>
  <c r="M342" i="1"/>
  <c r="N342" i="1"/>
  <c r="P342" i="1"/>
  <c r="K343" i="1"/>
  <c r="L343" i="1"/>
  <c r="M343" i="1"/>
  <c r="N343" i="1"/>
  <c r="P343" i="1"/>
  <c r="K344" i="1"/>
  <c r="L344" i="1"/>
  <c r="M344" i="1"/>
  <c r="N344" i="1"/>
  <c r="P344" i="1"/>
  <c r="K345" i="1"/>
  <c r="L345" i="1"/>
  <c r="M345" i="1"/>
  <c r="N345" i="1"/>
  <c r="P345" i="1"/>
  <c r="K346" i="1"/>
  <c r="L346" i="1"/>
  <c r="M346" i="1"/>
  <c r="N346" i="1"/>
  <c r="P346" i="1"/>
  <c r="K347" i="1"/>
  <c r="L347" i="1"/>
  <c r="M347" i="1"/>
  <c r="N347" i="1"/>
  <c r="P347" i="1"/>
  <c r="K348" i="1"/>
  <c r="L348" i="1"/>
  <c r="M348" i="1"/>
  <c r="N348" i="1"/>
  <c r="P348" i="1"/>
  <c r="K349" i="1"/>
  <c r="L349" i="1"/>
  <c r="M349" i="1"/>
  <c r="N349" i="1"/>
  <c r="P349" i="1"/>
  <c r="K350" i="1"/>
  <c r="L350" i="1"/>
  <c r="M350" i="1"/>
  <c r="N350" i="1"/>
  <c r="P350" i="1"/>
  <c r="K351" i="1"/>
  <c r="L351" i="1"/>
  <c r="M351" i="1"/>
  <c r="N351" i="1"/>
  <c r="P351" i="1"/>
  <c r="K352" i="1"/>
  <c r="L352" i="1"/>
  <c r="M352" i="1"/>
  <c r="N352" i="1"/>
  <c r="P352" i="1"/>
  <c r="K353" i="1"/>
  <c r="L353" i="1"/>
  <c r="M353" i="1"/>
  <c r="N353" i="1"/>
  <c r="P353" i="1"/>
  <c r="K354" i="1"/>
  <c r="L354" i="1"/>
  <c r="M354" i="1"/>
  <c r="N354" i="1"/>
  <c r="P354" i="1"/>
  <c r="K355" i="1"/>
  <c r="L355" i="1"/>
  <c r="M355" i="1"/>
  <c r="N355" i="1"/>
  <c r="P355" i="1"/>
  <c r="K356" i="1"/>
  <c r="L356" i="1"/>
  <c r="M356" i="1"/>
  <c r="N356" i="1"/>
  <c r="P356" i="1"/>
  <c r="K357" i="1"/>
  <c r="L357" i="1"/>
  <c r="M357" i="1"/>
  <c r="N357" i="1"/>
  <c r="P357" i="1"/>
  <c r="K358" i="1"/>
  <c r="L358" i="1"/>
  <c r="M358" i="1"/>
  <c r="N358" i="1"/>
  <c r="P358" i="1"/>
  <c r="K359" i="1"/>
  <c r="L359" i="1"/>
  <c r="M359" i="1"/>
  <c r="N359" i="1"/>
  <c r="P359" i="1"/>
  <c r="K360" i="1"/>
  <c r="L360" i="1"/>
  <c r="M360" i="1"/>
  <c r="N360" i="1"/>
  <c r="P360" i="1"/>
  <c r="K361" i="1"/>
  <c r="L361" i="1"/>
  <c r="M361" i="1"/>
  <c r="N361" i="1"/>
  <c r="P361" i="1"/>
  <c r="K362" i="1"/>
  <c r="L362" i="1"/>
  <c r="M362" i="1"/>
  <c r="N362" i="1"/>
  <c r="P362" i="1"/>
  <c r="K363" i="1"/>
  <c r="L363" i="1"/>
  <c r="M363" i="1"/>
  <c r="N363" i="1"/>
  <c r="P363" i="1"/>
  <c r="K364" i="1"/>
  <c r="L364" i="1"/>
  <c r="M364" i="1"/>
  <c r="N364" i="1"/>
  <c r="P364" i="1"/>
  <c r="K365" i="1"/>
  <c r="L365" i="1"/>
  <c r="M365" i="1"/>
  <c r="N365" i="1"/>
  <c r="P365" i="1"/>
  <c r="K366" i="1"/>
  <c r="L366" i="1"/>
  <c r="M366" i="1"/>
  <c r="N366" i="1"/>
  <c r="P366" i="1"/>
  <c r="K367" i="1"/>
  <c r="L367" i="1"/>
  <c r="M367" i="1"/>
  <c r="N367" i="1"/>
  <c r="P367" i="1"/>
  <c r="K368" i="1"/>
  <c r="L368" i="1"/>
  <c r="M368" i="1"/>
  <c r="N368" i="1"/>
  <c r="P368" i="1"/>
  <c r="K369" i="1"/>
  <c r="L369" i="1"/>
  <c r="M369" i="1"/>
  <c r="N369" i="1"/>
  <c r="P369" i="1"/>
  <c r="K370" i="1"/>
  <c r="L370" i="1"/>
  <c r="M370" i="1"/>
  <c r="N370" i="1"/>
  <c r="P370" i="1"/>
  <c r="K371" i="1"/>
  <c r="L371" i="1"/>
  <c r="M371" i="1"/>
  <c r="N371" i="1"/>
  <c r="P371" i="1"/>
  <c r="K372" i="1"/>
  <c r="L372" i="1"/>
  <c r="M372" i="1"/>
  <c r="N372" i="1"/>
  <c r="P372" i="1"/>
  <c r="K373" i="1"/>
  <c r="L373" i="1"/>
  <c r="M373" i="1"/>
  <c r="N373" i="1"/>
  <c r="P373" i="1"/>
  <c r="K374" i="1"/>
  <c r="L374" i="1"/>
  <c r="M374" i="1"/>
  <c r="N374" i="1"/>
  <c r="P374" i="1"/>
  <c r="K375" i="1"/>
  <c r="L375" i="1"/>
  <c r="M375" i="1"/>
  <c r="N375" i="1"/>
  <c r="P375" i="1"/>
  <c r="K376" i="1"/>
  <c r="L376" i="1"/>
  <c r="M376" i="1"/>
  <c r="N376" i="1"/>
  <c r="P376" i="1"/>
  <c r="K377" i="1"/>
  <c r="L377" i="1"/>
  <c r="M377" i="1"/>
  <c r="N377" i="1"/>
  <c r="P377" i="1"/>
  <c r="K378" i="1"/>
  <c r="L378" i="1"/>
  <c r="M378" i="1"/>
  <c r="N378" i="1"/>
  <c r="P378" i="1"/>
  <c r="K379" i="1"/>
  <c r="L379" i="1"/>
  <c r="M379" i="1"/>
  <c r="N379" i="1"/>
  <c r="P379" i="1"/>
  <c r="K380" i="1"/>
  <c r="L380" i="1"/>
  <c r="M380" i="1"/>
  <c r="N380" i="1"/>
  <c r="P380" i="1"/>
  <c r="K381" i="1"/>
  <c r="L381" i="1"/>
  <c r="M381" i="1"/>
  <c r="N381" i="1"/>
  <c r="P381" i="1"/>
  <c r="K382" i="1"/>
  <c r="L382" i="1"/>
  <c r="M382" i="1"/>
  <c r="N382" i="1"/>
  <c r="P382" i="1"/>
  <c r="K383" i="1"/>
  <c r="L383" i="1"/>
  <c r="M383" i="1"/>
  <c r="N383" i="1"/>
  <c r="P383" i="1"/>
  <c r="K384" i="1"/>
  <c r="L384" i="1"/>
  <c r="M384" i="1"/>
  <c r="N384" i="1"/>
  <c r="P384" i="1"/>
  <c r="K385" i="1"/>
  <c r="L385" i="1"/>
  <c r="M385" i="1"/>
  <c r="N385" i="1"/>
  <c r="P385" i="1"/>
  <c r="K386" i="1"/>
  <c r="L386" i="1"/>
  <c r="M386" i="1"/>
  <c r="N386" i="1"/>
  <c r="P386" i="1"/>
  <c r="K387" i="1"/>
  <c r="L387" i="1"/>
  <c r="M387" i="1"/>
  <c r="N387" i="1"/>
  <c r="P387" i="1"/>
  <c r="K388" i="1"/>
  <c r="L388" i="1"/>
  <c r="M388" i="1"/>
  <c r="N388" i="1"/>
  <c r="P388" i="1"/>
  <c r="K389" i="1"/>
  <c r="L389" i="1"/>
  <c r="M389" i="1"/>
  <c r="N389" i="1"/>
  <c r="P389" i="1"/>
  <c r="K390" i="1"/>
  <c r="L390" i="1"/>
  <c r="M390" i="1"/>
  <c r="N390" i="1"/>
  <c r="P390" i="1"/>
  <c r="K391" i="1"/>
  <c r="L391" i="1"/>
  <c r="M391" i="1"/>
  <c r="N391" i="1"/>
  <c r="P391" i="1"/>
  <c r="K392" i="1"/>
  <c r="L392" i="1"/>
  <c r="M392" i="1"/>
  <c r="N392" i="1"/>
  <c r="P392" i="1"/>
  <c r="K393" i="1"/>
  <c r="L393" i="1"/>
  <c r="M393" i="1"/>
  <c r="N393" i="1"/>
  <c r="P393" i="1"/>
  <c r="K394" i="1"/>
  <c r="L394" i="1"/>
  <c r="M394" i="1"/>
  <c r="N394" i="1"/>
  <c r="P394" i="1"/>
  <c r="K395" i="1"/>
  <c r="L395" i="1"/>
  <c r="M395" i="1"/>
  <c r="N395" i="1"/>
  <c r="P395" i="1"/>
  <c r="K396" i="1"/>
  <c r="L396" i="1"/>
  <c r="M396" i="1"/>
  <c r="N396" i="1"/>
  <c r="P396" i="1"/>
  <c r="K397" i="1"/>
  <c r="L397" i="1"/>
  <c r="M397" i="1"/>
  <c r="N397" i="1"/>
  <c r="P397" i="1"/>
  <c r="K398" i="1"/>
  <c r="L398" i="1"/>
  <c r="M398" i="1"/>
  <c r="N398" i="1"/>
  <c r="P398" i="1"/>
  <c r="K399" i="1"/>
  <c r="L399" i="1"/>
  <c r="M399" i="1"/>
  <c r="N399" i="1"/>
  <c r="P399" i="1"/>
  <c r="K400" i="1"/>
  <c r="L400" i="1"/>
  <c r="M400" i="1"/>
  <c r="N400" i="1"/>
  <c r="P400" i="1"/>
  <c r="K401" i="1"/>
  <c r="L401" i="1"/>
  <c r="M401" i="1"/>
  <c r="N401" i="1"/>
  <c r="P401" i="1"/>
  <c r="K402" i="1"/>
  <c r="L402" i="1"/>
  <c r="M402" i="1"/>
  <c r="N402" i="1"/>
  <c r="P402" i="1"/>
  <c r="K403" i="1"/>
  <c r="L403" i="1"/>
  <c r="M403" i="1"/>
  <c r="N403" i="1"/>
  <c r="P403" i="1"/>
  <c r="K404" i="1"/>
  <c r="L404" i="1"/>
  <c r="M404" i="1"/>
  <c r="N404" i="1"/>
  <c r="P404" i="1"/>
  <c r="K405" i="1"/>
  <c r="L405" i="1"/>
  <c r="M405" i="1"/>
  <c r="N405" i="1"/>
  <c r="P405" i="1"/>
  <c r="K406" i="1"/>
  <c r="L406" i="1"/>
  <c r="M406" i="1"/>
  <c r="N406" i="1"/>
  <c r="P406" i="1"/>
  <c r="K407" i="1"/>
  <c r="L407" i="1"/>
  <c r="M407" i="1"/>
  <c r="N407" i="1"/>
  <c r="P407" i="1"/>
  <c r="K408" i="1"/>
  <c r="L408" i="1"/>
  <c r="M408" i="1"/>
  <c r="N408" i="1"/>
  <c r="P408" i="1"/>
  <c r="K409" i="1"/>
  <c r="L409" i="1"/>
  <c r="M409" i="1"/>
  <c r="N409" i="1"/>
  <c r="P409" i="1"/>
  <c r="K410" i="1"/>
  <c r="L410" i="1"/>
  <c r="M410" i="1"/>
  <c r="N410" i="1"/>
  <c r="P410" i="1"/>
  <c r="K411" i="1"/>
  <c r="L411" i="1"/>
  <c r="M411" i="1"/>
  <c r="N411" i="1"/>
  <c r="P411" i="1"/>
  <c r="K412" i="1"/>
  <c r="L412" i="1"/>
  <c r="M412" i="1"/>
  <c r="N412" i="1"/>
  <c r="P412" i="1"/>
  <c r="K413" i="1"/>
  <c r="L413" i="1"/>
  <c r="M413" i="1"/>
  <c r="N413" i="1"/>
  <c r="P413" i="1"/>
  <c r="K414" i="1"/>
  <c r="L414" i="1"/>
  <c r="M414" i="1"/>
  <c r="N414" i="1"/>
  <c r="P414" i="1"/>
  <c r="K415" i="1"/>
  <c r="L415" i="1"/>
  <c r="M415" i="1"/>
  <c r="N415" i="1"/>
  <c r="P415" i="1"/>
  <c r="K416" i="1"/>
  <c r="L416" i="1"/>
  <c r="M416" i="1"/>
  <c r="N416" i="1"/>
  <c r="P416" i="1"/>
  <c r="K417" i="1"/>
  <c r="L417" i="1"/>
  <c r="M417" i="1"/>
  <c r="N417" i="1"/>
  <c r="P417" i="1"/>
  <c r="K418" i="1"/>
  <c r="L418" i="1"/>
  <c r="M418" i="1"/>
  <c r="N418" i="1"/>
  <c r="P418" i="1"/>
  <c r="K419" i="1"/>
  <c r="L419" i="1"/>
  <c r="M419" i="1"/>
  <c r="N419" i="1"/>
  <c r="P419" i="1"/>
  <c r="K420" i="1"/>
  <c r="L420" i="1"/>
  <c r="M420" i="1"/>
  <c r="N420" i="1"/>
  <c r="P420" i="1"/>
  <c r="K421" i="1"/>
  <c r="L421" i="1"/>
  <c r="M421" i="1"/>
  <c r="N421" i="1"/>
  <c r="P421" i="1"/>
  <c r="K422" i="1"/>
  <c r="L422" i="1"/>
  <c r="M422" i="1"/>
  <c r="N422" i="1"/>
  <c r="P422" i="1"/>
  <c r="K423" i="1"/>
  <c r="L423" i="1"/>
  <c r="M423" i="1"/>
  <c r="N423" i="1"/>
  <c r="P423" i="1"/>
  <c r="K424" i="1"/>
  <c r="L424" i="1"/>
  <c r="M424" i="1"/>
  <c r="N424" i="1"/>
  <c r="P424" i="1"/>
  <c r="K425" i="1"/>
  <c r="L425" i="1"/>
  <c r="M425" i="1"/>
  <c r="N425" i="1"/>
  <c r="P425" i="1"/>
  <c r="K426" i="1"/>
  <c r="L426" i="1"/>
  <c r="M426" i="1"/>
  <c r="N426" i="1"/>
  <c r="P426" i="1"/>
  <c r="K427" i="1"/>
  <c r="L427" i="1"/>
  <c r="M427" i="1"/>
  <c r="N427" i="1"/>
  <c r="P427" i="1"/>
  <c r="K428" i="1"/>
  <c r="L428" i="1"/>
  <c r="M428" i="1"/>
  <c r="N428" i="1"/>
  <c r="P428" i="1"/>
  <c r="K429" i="1"/>
  <c r="L429" i="1"/>
  <c r="M429" i="1"/>
  <c r="N429" i="1"/>
  <c r="P429" i="1"/>
  <c r="K430" i="1"/>
  <c r="L430" i="1"/>
  <c r="M430" i="1"/>
  <c r="N430" i="1"/>
  <c r="P430" i="1"/>
  <c r="K431" i="1"/>
  <c r="L431" i="1"/>
  <c r="M431" i="1"/>
  <c r="N431" i="1"/>
  <c r="P431" i="1"/>
  <c r="K432" i="1"/>
  <c r="L432" i="1"/>
  <c r="M432" i="1"/>
  <c r="N432" i="1"/>
  <c r="P432" i="1"/>
  <c r="K433" i="1"/>
  <c r="L433" i="1"/>
  <c r="M433" i="1"/>
  <c r="N433" i="1"/>
  <c r="P433" i="1"/>
  <c r="K434" i="1"/>
  <c r="L434" i="1"/>
  <c r="M434" i="1"/>
  <c r="N434" i="1"/>
  <c r="P434" i="1"/>
  <c r="K435" i="1"/>
  <c r="L435" i="1"/>
  <c r="M435" i="1"/>
  <c r="N435" i="1"/>
  <c r="P435" i="1"/>
  <c r="K436" i="1"/>
  <c r="L436" i="1"/>
  <c r="M436" i="1"/>
  <c r="N436" i="1"/>
  <c r="P436" i="1"/>
  <c r="K437" i="1"/>
  <c r="L437" i="1"/>
  <c r="M437" i="1"/>
  <c r="N437" i="1"/>
  <c r="P437" i="1"/>
  <c r="K438" i="1"/>
  <c r="L438" i="1"/>
  <c r="M438" i="1"/>
  <c r="N438" i="1"/>
  <c r="P438" i="1"/>
  <c r="K439" i="1"/>
  <c r="L439" i="1"/>
  <c r="M439" i="1"/>
  <c r="N439" i="1"/>
  <c r="P439" i="1"/>
  <c r="K440" i="1"/>
  <c r="L440" i="1"/>
  <c r="M440" i="1"/>
  <c r="N440" i="1"/>
  <c r="P440" i="1"/>
  <c r="K441" i="1"/>
  <c r="L441" i="1"/>
  <c r="M441" i="1"/>
  <c r="N441" i="1"/>
  <c r="P441" i="1"/>
  <c r="K442" i="1"/>
  <c r="L442" i="1"/>
  <c r="M442" i="1"/>
  <c r="N442" i="1"/>
  <c r="P442" i="1"/>
  <c r="K443" i="1"/>
  <c r="L443" i="1"/>
  <c r="M443" i="1"/>
  <c r="N443" i="1"/>
  <c r="P443" i="1"/>
  <c r="K444" i="1"/>
  <c r="L444" i="1"/>
  <c r="M444" i="1"/>
  <c r="N444" i="1"/>
  <c r="P444" i="1"/>
  <c r="K445" i="1"/>
  <c r="L445" i="1"/>
  <c r="M445" i="1"/>
  <c r="N445" i="1"/>
  <c r="P445" i="1"/>
  <c r="K446" i="1"/>
  <c r="L446" i="1"/>
  <c r="M446" i="1"/>
  <c r="N446" i="1"/>
  <c r="P446" i="1"/>
  <c r="K447" i="1"/>
  <c r="L447" i="1"/>
  <c r="M447" i="1"/>
  <c r="N447" i="1"/>
  <c r="P447" i="1"/>
  <c r="K448" i="1"/>
  <c r="L448" i="1"/>
  <c r="M448" i="1"/>
  <c r="N448" i="1"/>
  <c r="P448" i="1"/>
  <c r="K449" i="1"/>
  <c r="L449" i="1"/>
  <c r="M449" i="1"/>
  <c r="N449" i="1"/>
  <c r="P449" i="1"/>
  <c r="K450" i="1"/>
  <c r="L450" i="1"/>
  <c r="M450" i="1"/>
  <c r="N450" i="1"/>
  <c r="P450" i="1"/>
  <c r="K451" i="1"/>
  <c r="L451" i="1"/>
  <c r="M451" i="1"/>
  <c r="N451" i="1"/>
  <c r="P451" i="1"/>
  <c r="K452" i="1"/>
  <c r="L452" i="1"/>
  <c r="M452" i="1"/>
  <c r="N452" i="1"/>
  <c r="P452" i="1"/>
  <c r="K453" i="1"/>
  <c r="L453" i="1"/>
  <c r="M453" i="1"/>
  <c r="N453" i="1"/>
  <c r="P453" i="1"/>
  <c r="K454" i="1"/>
  <c r="L454" i="1"/>
  <c r="M454" i="1"/>
  <c r="N454" i="1"/>
  <c r="P454" i="1"/>
  <c r="K455" i="1"/>
  <c r="L455" i="1"/>
  <c r="M455" i="1"/>
  <c r="N455" i="1"/>
  <c r="P455" i="1"/>
  <c r="K456" i="1"/>
  <c r="L456" i="1"/>
  <c r="M456" i="1"/>
  <c r="N456" i="1"/>
  <c r="P456" i="1"/>
  <c r="K457" i="1"/>
  <c r="L457" i="1"/>
  <c r="M457" i="1"/>
  <c r="N457" i="1"/>
  <c r="P457" i="1"/>
  <c r="K458" i="1"/>
  <c r="L458" i="1"/>
  <c r="M458" i="1"/>
  <c r="N458" i="1"/>
  <c r="P458" i="1"/>
  <c r="K459" i="1"/>
  <c r="L459" i="1"/>
  <c r="M459" i="1"/>
  <c r="N459" i="1"/>
  <c r="P459" i="1"/>
  <c r="K460" i="1"/>
  <c r="L460" i="1"/>
  <c r="M460" i="1"/>
  <c r="N460" i="1"/>
  <c r="P460" i="1"/>
  <c r="K461" i="1"/>
  <c r="L461" i="1"/>
  <c r="M461" i="1"/>
  <c r="N461" i="1"/>
  <c r="P461" i="1"/>
  <c r="K462" i="1"/>
  <c r="L462" i="1"/>
  <c r="M462" i="1"/>
  <c r="N462" i="1"/>
  <c r="P462" i="1"/>
  <c r="K463" i="1"/>
  <c r="L463" i="1"/>
  <c r="M463" i="1"/>
  <c r="N463" i="1"/>
  <c r="P463" i="1"/>
  <c r="K464" i="1"/>
  <c r="L464" i="1"/>
  <c r="M464" i="1"/>
  <c r="N464" i="1"/>
  <c r="P464" i="1"/>
  <c r="K465" i="1"/>
  <c r="L465" i="1"/>
  <c r="M465" i="1"/>
  <c r="N465" i="1"/>
  <c r="P465" i="1"/>
  <c r="K466" i="1"/>
  <c r="L466" i="1"/>
  <c r="M466" i="1"/>
  <c r="N466" i="1"/>
  <c r="P466" i="1"/>
  <c r="K467" i="1"/>
  <c r="L467" i="1"/>
  <c r="M467" i="1"/>
  <c r="N467" i="1"/>
  <c r="P467" i="1"/>
  <c r="K468" i="1"/>
  <c r="L468" i="1"/>
  <c r="M468" i="1"/>
  <c r="N468" i="1"/>
  <c r="P468" i="1"/>
  <c r="K469" i="1"/>
  <c r="L469" i="1"/>
  <c r="M469" i="1"/>
  <c r="N469" i="1"/>
  <c r="P469" i="1"/>
  <c r="K470" i="1"/>
  <c r="L470" i="1"/>
  <c r="M470" i="1"/>
  <c r="N470" i="1"/>
  <c r="P470" i="1"/>
  <c r="K471" i="1"/>
  <c r="L471" i="1"/>
  <c r="M471" i="1"/>
  <c r="N471" i="1"/>
  <c r="P471" i="1"/>
  <c r="K472" i="1"/>
  <c r="L472" i="1"/>
  <c r="M472" i="1"/>
  <c r="N472" i="1"/>
  <c r="P472" i="1"/>
  <c r="K473" i="1"/>
  <c r="L473" i="1"/>
  <c r="M473" i="1"/>
  <c r="N473" i="1"/>
  <c r="P473" i="1"/>
  <c r="K474" i="1"/>
  <c r="L474" i="1"/>
  <c r="M474" i="1"/>
  <c r="N474" i="1"/>
  <c r="P474" i="1"/>
  <c r="K475" i="1"/>
  <c r="L475" i="1"/>
  <c r="M475" i="1"/>
  <c r="N475" i="1"/>
  <c r="P475" i="1"/>
  <c r="K476" i="1"/>
  <c r="L476" i="1"/>
  <c r="M476" i="1"/>
  <c r="N476" i="1"/>
  <c r="P476" i="1"/>
  <c r="K477" i="1"/>
  <c r="L477" i="1"/>
  <c r="M477" i="1"/>
  <c r="N477" i="1"/>
  <c r="P477" i="1"/>
  <c r="K478" i="1"/>
  <c r="L478" i="1"/>
  <c r="M478" i="1"/>
  <c r="N478" i="1"/>
  <c r="P478" i="1"/>
  <c r="K479" i="1"/>
  <c r="L479" i="1"/>
  <c r="M479" i="1"/>
  <c r="N479" i="1"/>
  <c r="P479" i="1"/>
  <c r="K480" i="1"/>
  <c r="L480" i="1"/>
  <c r="M480" i="1"/>
  <c r="N480" i="1"/>
  <c r="P480" i="1"/>
  <c r="K481" i="1"/>
  <c r="L481" i="1"/>
  <c r="M481" i="1"/>
  <c r="N481" i="1"/>
  <c r="P481" i="1"/>
  <c r="K482" i="1"/>
  <c r="L482" i="1"/>
  <c r="M482" i="1"/>
  <c r="N482" i="1"/>
  <c r="P482" i="1"/>
  <c r="K483" i="1"/>
  <c r="L483" i="1"/>
  <c r="M483" i="1"/>
  <c r="N483" i="1"/>
  <c r="P483" i="1"/>
  <c r="K484" i="1"/>
  <c r="L484" i="1"/>
  <c r="M484" i="1"/>
  <c r="N484" i="1"/>
  <c r="P484" i="1"/>
  <c r="K485" i="1"/>
  <c r="L485" i="1"/>
  <c r="M485" i="1"/>
  <c r="N485" i="1"/>
  <c r="P485" i="1"/>
  <c r="K486" i="1"/>
  <c r="L486" i="1"/>
  <c r="M486" i="1"/>
  <c r="N486" i="1"/>
  <c r="P486" i="1"/>
  <c r="K487" i="1"/>
  <c r="L487" i="1"/>
  <c r="M487" i="1"/>
  <c r="N487" i="1"/>
  <c r="P487" i="1"/>
  <c r="K488" i="1"/>
  <c r="L488" i="1"/>
  <c r="M488" i="1"/>
  <c r="N488" i="1"/>
  <c r="P488" i="1"/>
  <c r="K489" i="1"/>
  <c r="L489" i="1"/>
  <c r="M489" i="1"/>
  <c r="N489" i="1"/>
  <c r="P489" i="1"/>
  <c r="K490" i="1"/>
  <c r="L490" i="1"/>
  <c r="M490" i="1"/>
  <c r="N490" i="1"/>
  <c r="P490" i="1"/>
  <c r="K491" i="1"/>
  <c r="L491" i="1"/>
  <c r="M491" i="1"/>
  <c r="N491" i="1"/>
  <c r="P491" i="1"/>
  <c r="K492" i="1"/>
  <c r="L492" i="1"/>
  <c r="M492" i="1"/>
  <c r="N492" i="1"/>
  <c r="P492" i="1"/>
  <c r="K493" i="1"/>
  <c r="L493" i="1"/>
  <c r="M493" i="1"/>
  <c r="N493" i="1"/>
  <c r="P493" i="1"/>
  <c r="K494" i="1"/>
  <c r="L494" i="1"/>
  <c r="M494" i="1"/>
  <c r="N494" i="1"/>
  <c r="P494" i="1"/>
  <c r="K495" i="1"/>
  <c r="L495" i="1"/>
  <c r="M495" i="1"/>
  <c r="N495" i="1"/>
  <c r="P495" i="1"/>
  <c r="K496" i="1"/>
  <c r="L496" i="1"/>
  <c r="M496" i="1"/>
  <c r="N496" i="1"/>
  <c r="P496" i="1"/>
  <c r="K497" i="1"/>
  <c r="L497" i="1"/>
  <c r="M497" i="1"/>
  <c r="N497" i="1"/>
  <c r="P497" i="1"/>
  <c r="K498" i="1"/>
  <c r="L498" i="1"/>
  <c r="M498" i="1"/>
  <c r="N498" i="1"/>
  <c r="P498" i="1"/>
  <c r="K499" i="1"/>
  <c r="L499" i="1"/>
  <c r="M499" i="1"/>
  <c r="N499" i="1"/>
  <c r="P499" i="1"/>
  <c r="K500" i="1"/>
  <c r="L500" i="1"/>
  <c r="M500" i="1"/>
  <c r="N500" i="1"/>
  <c r="P500" i="1"/>
  <c r="K501" i="1"/>
  <c r="L501" i="1"/>
  <c r="M501" i="1"/>
  <c r="N501" i="1"/>
  <c r="P501" i="1"/>
  <c r="K502" i="1"/>
  <c r="L502" i="1"/>
  <c r="M502" i="1"/>
  <c r="N502" i="1"/>
  <c r="P502" i="1"/>
  <c r="K503" i="1"/>
  <c r="L503" i="1"/>
  <c r="M503" i="1"/>
  <c r="N503" i="1"/>
  <c r="P503" i="1"/>
  <c r="K504" i="1"/>
  <c r="L504" i="1"/>
  <c r="M504" i="1"/>
  <c r="N504" i="1"/>
  <c r="P504" i="1"/>
  <c r="K505" i="1"/>
  <c r="L505" i="1"/>
  <c r="M505" i="1"/>
  <c r="N505" i="1"/>
  <c r="P505" i="1"/>
  <c r="K506" i="1"/>
  <c r="L506" i="1"/>
  <c r="M506" i="1"/>
  <c r="N506" i="1"/>
  <c r="P506" i="1"/>
  <c r="K507" i="1"/>
  <c r="L507" i="1"/>
  <c r="M507" i="1"/>
  <c r="N507" i="1"/>
  <c r="P507" i="1"/>
  <c r="K508" i="1"/>
  <c r="L508" i="1"/>
  <c r="M508" i="1"/>
  <c r="N508" i="1"/>
  <c r="P508" i="1"/>
  <c r="K509" i="1"/>
  <c r="L509" i="1"/>
  <c r="M509" i="1"/>
  <c r="N509" i="1"/>
  <c r="P509" i="1"/>
  <c r="K510" i="1"/>
  <c r="L510" i="1"/>
  <c r="M510" i="1"/>
  <c r="N510" i="1"/>
  <c r="P510" i="1"/>
  <c r="K511" i="1"/>
  <c r="L511" i="1"/>
  <c r="M511" i="1"/>
  <c r="N511" i="1"/>
  <c r="P511" i="1"/>
  <c r="K512" i="1"/>
  <c r="L512" i="1"/>
  <c r="M512" i="1"/>
  <c r="N512" i="1"/>
  <c r="P512" i="1"/>
  <c r="K513" i="1"/>
  <c r="L513" i="1"/>
  <c r="M513" i="1"/>
  <c r="N513" i="1"/>
  <c r="P513" i="1"/>
  <c r="K514" i="1"/>
  <c r="L514" i="1"/>
  <c r="M514" i="1"/>
  <c r="N514" i="1"/>
  <c r="P514" i="1"/>
  <c r="K515" i="1"/>
  <c r="L515" i="1"/>
  <c r="M515" i="1"/>
  <c r="N515" i="1"/>
  <c r="P515" i="1"/>
  <c r="K516" i="1"/>
  <c r="L516" i="1"/>
  <c r="M516" i="1"/>
  <c r="N516" i="1"/>
  <c r="P516" i="1"/>
  <c r="K517" i="1"/>
  <c r="L517" i="1"/>
  <c r="M517" i="1"/>
  <c r="N517" i="1"/>
  <c r="P517" i="1"/>
  <c r="K518" i="1"/>
  <c r="L518" i="1"/>
  <c r="M518" i="1"/>
  <c r="N518" i="1"/>
  <c r="P518" i="1"/>
  <c r="K519" i="1"/>
  <c r="L519" i="1"/>
  <c r="M519" i="1"/>
  <c r="N519" i="1"/>
  <c r="P519" i="1"/>
  <c r="K520" i="1"/>
  <c r="L520" i="1"/>
  <c r="M520" i="1"/>
  <c r="N520" i="1"/>
  <c r="P520" i="1"/>
  <c r="K521" i="1"/>
  <c r="L521" i="1"/>
  <c r="M521" i="1"/>
  <c r="N521" i="1"/>
  <c r="P521" i="1"/>
  <c r="K522" i="1"/>
  <c r="L522" i="1"/>
  <c r="M522" i="1"/>
  <c r="N522" i="1"/>
  <c r="P522" i="1"/>
  <c r="K523" i="1"/>
  <c r="L523" i="1"/>
  <c r="M523" i="1"/>
  <c r="N523" i="1"/>
  <c r="P523" i="1"/>
  <c r="K524" i="1"/>
  <c r="L524" i="1"/>
  <c r="M524" i="1"/>
  <c r="N524" i="1"/>
  <c r="P524" i="1"/>
  <c r="K525" i="1"/>
  <c r="L525" i="1"/>
  <c r="M525" i="1"/>
  <c r="N525" i="1"/>
  <c r="P525" i="1"/>
  <c r="K526" i="1"/>
  <c r="L526" i="1"/>
  <c r="M526" i="1"/>
  <c r="N526" i="1"/>
  <c r="P526" i="1"/>
  <c r="K527" i="1"/>
  <c r="L527" i="1"/>
  <c r="M527" i="1"/>
  <c r="N527" i="1"/>
  <c r="P527" i="1"/>
  <c r="K528" i="1"/>
  <c r="L528" i="1"/>
  <c r="M528" i="1"/>
  <c r="N528" i="1"/>
  <c r="P528" i="1"/>
  <c r="K529" i="1"/>
  <c r="L529" i="1"/>
  <c r="M529" i="1"/>
  <c r="N529" i="1"/>
  <c r="P529" i="1"/>
  <c r="K530" i="1"/>
  <c r="L530" i="1"/>
  <c r="M530" i="1"/>
  <c r="N530" i="1"/>
  <c r="P530" i="1"/>
  <c r="K531" i="1"/>
  <c r="L531" i="1"/>
  <c r="M531" i="1"/>
  <c r="N531" i="1"/>
  <c r="P531" i="1"/>
  <c r="K532" i="1"/>
  <c r="L532" i="1"/>
  <c r="M532" i="1"/>
  <c r="N532" i="1"/>
  <c r="P532" i="1"/>
  <c r="K533" i="1"/>
  <c r="L533" i="1"/>
  <c r="M533" i="1"/>
  <c r="N533" i="1"/>
  <c r="P533" i="1"/>
  <c r="K534" i="1"/>
  <c r="L534" i="1"/>
  <c r="M534" i="1"/>
  <c r="N534" i="1"/>
  <c r="P534" i="1"/>
  <c r="K535" i="1"/>
  <c r="L535" i="1"/>
  <c r="M535" i="1"/>
  <c r="N535" i="1"/>
  <c r="P535" i="1"/>
  <c r="K536" i="1"/>
  <c r="L536" i="1"/>
  <c r="M536" i="1"/>
  <c r="N536" i="1"/>
  <c r="P536" i="1"/>
  <c r="K537" i="1"/>
  <c r="L537" i="1"/>
  <c r="M537" i="1"/>
  <c r="N537" i="1"/>
  <c r="P537" i="1"/>
  <c r="K538" i="1"/>
  <c r="L538" i="1"/>
  <c r="M538" i="1"/>
  <c r="N538" i="1"/>
  <c r="P538" i="1"/>
  <c r="K539" i="1"/>
  <c r="L539" i="1"/>
  <c r="M539" i="1"/>
  <c r="N539" i="1"/>
  <c r="P539" i="1"/>
  <c r="K540" i="1"/>
  <c r="L540" i="1"/>
  <c r="M540" i="1"/>
  <c r="N540" i="1"/>
  <c r="P540" i="1"/>
  <c r="K541" i="1"/>
  <c r="L541" i="1"/>
  <c r="M541" i="1"/>
  <c r="N541" i="1"/>
  <c r="P541" i="1"/>
  <c r="K542" i="1"/>
  <c r="L542" i="1"/>
  <c r="M542" i="1"/>
  <c r="N542" i="1"/>
  <c r="P542" i="1"/>
  <c r="K543" i="1"/>
  <c r="L543" i="1"/>
  <c r="M543" i="1"/>
  <c r="N543" i="1"/>
  <c r="P543" i="1"/>
  <c r="K544" i="1"/>
  <c r="L544" i="1"/>
  <c r="M544" i="1"/>
  <c r="N544" i="1"/>
  <c r="P544" i="1"/>
  <c r="K545" i="1"/>
  <c r="L545" i="1"/>
  <c r="M545" i="1"/>
  <c r="N545" i="1"/>
  <c r="P545" i="1"/>
  <c r="K546" i="1"/>
  <c r="L546" i="1"/>
  <c r="M546" i="1"/>
  <c r="N546" i="1"/>
  <c r="P546" i="1"/>
  <c r="K547" i="1"/>
  <c r="L547" i="1"/>
  <c r="M547" i="1"/>
  <c r="N547" i="1"/>
  <c r="P547" i="1"/>
  <c r="K548" i="1"/>
  <c r="L548" i="1"/>
  <c r="M548" i="1"/>
  <c r="N548" i="1"/>
  <c r="P548" i="1"/>
  <c r="K549" i="1"/>
  <c r="L549" i="1"/>
  <c r="M549" i="1"/>
  <c r="N549" i="1"/>
  <c r="P549" i="1"/>
  <c r="K550" i="1"/>
  <c r="L550" i="1"/>
  <c r="M550" i="1"/>
  <c r="N550" i="1"/>
  <c r="P550" i="1"/>
  <c r="K551" i="1"/>
  <c r="L551" i="1"/>
  <c r="M551" i="1"/>
  <c r="N551" i="1"/>
  <c r="P551" i="1"/>
  <c r="K552" i="1"/>
  <c r="L552" i="1"/>
  <c r="M552" i="1"/>
  <c r="N552" i="1"/>
  <c r="P552" i="1"/>
  <c r="K553" i="1"/>
  <c r="L553" i="1"/>
  <c r="M553" i="1"/>
  <c r="N553" i="1"/>
  <c r="P553" i="1"/>
  <c r="K554" i="1"/>
  <c r="L554" i="1"/>
  <c r="M554" i="1"/>
  <c r="N554" i="1"/>
  <c r="P554" i="1"/>
  <c r="K555" i="1"/>
  <c r="L555" i="1"/>
  <c r="M555" i="1"/>
  <c r="N555" i="1"/>
  <c r="P555" i="1"/>
  <c r="K556" i="1"/>
  <c r="L556" i="1"/>
  <c r="M556" i="1"/>
  <c r="N556" i="1"/>
  <c r="P556" i="1"/>
  <c r="K557" i="1"/>
  <c r="L557" i="1"/>
  <c r="M557" i="1"/>
  <c r="N557" i="1"/>
  <c r="P557" i="1"/>
  <c r="K558" i="1"/>
  <c r="L558" i="1"/>
  <c r="M558" i="1"/>
  <c r="N558" i="1"/>
  <c r="P558" i="1"/>
  <c r="K559" i="1"/>
  <c r="L559" i="1"/>
  <c r="M559" i="1"/>
  <c r="N559" i="1"/>
  <c r="P559" i="1"/>
  <c r="K560" i="1"/>
  <c r="L560" i="1"/>
  <c r="M560" i="1"/>
  <c r="N560" i="1"/>
  <c r="P560" i="1"/>
  <c r="K561" i="1"/>
  <c r="L561" i="1"/>
  <c r="M561" i="1"/>
  <c r="N561" i="1"/>
  <c r="P561" i="1"/>
  <c r="K562" i="1"/>
  <c r="L562" i="1"/>
  <c r="M562" i="1"/>
  <c r="N562" i="1"/>
  <c r="P562" i="1"/>
  <c r="K563" i="1"/>
  <c r="L563" i="1"/>
  <c r="M563" i="1"/>
  <c r="N563" i="1"/>
  <c r="P563" i="1"/>
  <c r="K564" i="1"/>
  <c r="L564" i="1"/>
  <c r="M564" i="1"/>
  <c r="N564" i="1"/>
  <c r="P564" i="1"/>
  <c r="K565" i="1"/>
  <c r="L565" i="1"/>
  <c r="M565" i="1"/>
  <c r="N565" i="1"/>
  <c r="P565" i="1"/>
  <c r="K566" i="1"/>
  <c r="L566" i="1"/>
  <c r="M566" i="1"/>
  <c r="N566" i="1"/>
  <c r="P566" i="1"/>
  <c r="K567" i="1"/>
  <c r="L567" i="1"/>
  <c r="M567" i="1"/>
  <c r="N567" i="1"/>
  <c r="P567" i="1"/>
  <c r="K568" i="1"/>
  <c r="L568" i="1"/>
  <c r="M568" i="1"/>
  <c r="N568" i="1"/>
  <c r="P568" i="1"/>
  <c r="K569" i="1"/>
  <c r="L569" i="1"/>
  <c r="M569" i="1"/>
  <c r="N569" i="1"/>
  <c r="P569" i="1"/>
  <c r="K570" i="1"/>
  <c r="L570" i="1"/>
  <c r="M570" i="1"/>
  <c r="N570" i="1"/>
  <c r="P570" i="1"/>
  <c r="K571" i="1"/>
  <c r="L571" i="1"/>
  <c r="M571" i="1"/>
  <c r="N571" i="1"/>
  <c r="P571" i="1"/>
  <c r="K572" i="1"/>
  <c r="L572" i="1"/>
  <c r="M572" i="1"/>
  <c r="N572" i="1"/>
  <c r="P572" i="1"/>
  <c r="K573" i="1"/>
  <c r="L573" i="1"/>
  <c r="M573" i="1"/>
  <c r="N573" i="1"/>
  <c r="P573" i="1"/>
  <c r="K574" i="1"/>
  <c r="L574" i="1"/>
  <c r="M574" i="1"/>
  <c r="N574" i="1"/>
  <c r="P574" i="1"/>
  <c r="K575" i="1"/>
  <c r="L575" i="1"/>
  <c r="M575" i="1"/>
  <c r="N575" i="1"/>
  <c r="P575" i="1"/>
  <c r="K576" i="1"/>
  <c r="L576" i="1"/>
  <c r="M576" i="1"/>
  <c r="N576" i="1"/>
  <c r="P576" i="1"/>
  <c r="K577" i="1"/>
  <c r="L577" i="1"/>
  <c r="M577" i="1"/>
  <c r="N577" i="1"/>
  <c r="P577" i="1"/>
  <c r="K578" i="1"/>
  <c r="L578" i="1"/>
  <c r="M578" i="1"/>
  <c r="N578" i="1"/>
  <c r="P578" i="1"/>
  <c r="K579" i="1"/>
  <c r="L579" i="1"/>
  <c r="M579" i="1"/>
  <c r="N579" i="1"/>
  <c r="P579" i="1"/>
  <c r="K580" i="1"/>
  <c r="L580" i="1"/>
  <c r="M580" i="1"/>
  <c r="N580" i="1"/>
  <c r="P580" i="1"/>
  <c r="K581" i="1"/>
  <c r="L581" i="1"/>
  <c r="M581" i="1"/>
  <c r="N581" i="1"/>
  <c r="P581" i="1"/>
  <c r="K582" i="1"/>
  <c r="L582" i="1"/>
  <c r="M582" i="1"/>
  <c r="N582" i="1"/>
  <c r="P582" i="1"/>
  <c r="K583" i="1"/>
  <c r="L583" i="1"/>
  <c r="M583" i="1"/>
  <c r="N583" i="1"/>
  <c r="P583" i="1"/>
  <c r="K584" i="1"/>
  <c r="L584" i="1"/>
  <c r="M584" i="1"/>
  <c r="N584" i="1"/>
  <c r="P584" i="1"/>
  <c r="K585" i="1"/>
  <c r="L585" i="1"/>
  <c r="M585" i="1"/>
  <c r="N585" i="1"/>
  <c r="P585" i="1"/>
  <c r="K586" i="1"/>
  <c r="L586" i="1"/>
  <c r="M586" i="1"/>
  <c r="N586" i="1"/>
  <c r="P586" i="1"/>
  <c r="K587" i="1"/>
  <c r="L587" i="1"/>
  <c r="M587" i="1"/>
  <c r="N587" i="1"/>
  <c r="P587" i="1"/>
  <c r="K588" i="1"/>
  <c r="L588" i="1"/>
  <c r="M588" i="1"/>
  <c r="N588" i="1"/>
  <c r="P588" i="1"/>
  <c r="K589" i="1"/>
  <c r="L589" i="1"/>
  <c r="M589" i="1"/>
  <c r="N589" i="1"/>
  <c r="P589" i="1"/>
  <c r="K590" i="1"/>
  <c r="L590" i="1"/>
  <c r="M590" i="1"/>
  <c r="N590" i="1"/>
  <c r="P590" i="1"/>
  <c r="K591" i="1"/>
  <c r="L591" i="1"/>
  <c r="M591" i="1"/>
  <c r="N591" i="1"/>
  <c r="P591" i="1"/>
  <c r="K592" i="1"/>
  <c r="L592" i="1"/>
  <c r="M592" i="1"/>
  <c r="N592" i="1"/>
  <c r="P592" i="1"/>
  <c r="K593" i="1"/>
  <c r="L593" i="1"/>
  <c r="M593" i="1"/>
  <c r="N593" i="1"/>
  <c r="P593" i="1"/>
  <c r="K594" i="1"/>
  <c r="L594" i="1"/>
  <c r="M594" i="1"/>
  <c r="N594" i="1"/>
  <c r="P594" i="1"/>
  <c r="K595" i="1"/>
  <c r="L595" i="1"/>
  <c r="M595" i="1"/>
  <c r="N595" i="1"/>
  <c r="P595" i="1"/>
  <c r="K596" i="1"/>
  <c r="L596" i="1"/>
  <c r="M596" i="1"/>
  <c r="N596" i="1"/>
  <c r="P596" i="1"/>
  <c r="K597" i="1"/>
  <c r="L597" i="1"/>
  <c r="M597" i="1"/>
  <c r="N597" i="1"/>
  <c r="P597" i="1"/>
  <c r="K598" i="1"/>
  <c r="L598" i="1"/>
  <c r="M598" i="1"/>
  <c r="N598" i="1"/>
  <c r="P598" i="1"/>
  <c r="K599" i="1"/>
  <c r="L599" i="1"/>
  <c r="M599" i="1"/>
  <c r="N599" i="1"/>
  <c r="P599" i="1"/>
  <c r="K600" i="1"/>
  <c r="L600" i="1"/>
  <c r="M600" i="1"/>
  <c r="N600" i="1"/>
  <c r="P600" i="1"/>
  <c r="K601" i="1"/>
  <c r="L601" i="1"/>
  <c r="M601" i="1"/>
  <c r="N601" i="1"/>
  <c r="P601" i="1"/>
  <c r="K602" i="1"/>
  <c r="L602" i="1"/>
  <c r="M602" i="1"/>
  <c r="N602" i="1"/>
  <c r="P602" i="1"/>
  <c r="K603" i="1"/>
  <c r="L603" i="1"/>
  <c r="M603" i="1"/>
  <c r="N603" i="1"/>
  <c r="P603" i="1"/>
  <c r="K604" i="1"/>
  <c r="L604" i="1"/>
  <c r="M604" i="1"/>
  <c r="N604" i="1"/>
  <c r="P604" i="1"/>
  <c r="K605" i="1"/>
  <c r="L605" i="1"/>
  <c r="M605" i="1"/>
  <c r="N605" i="1"/>
  <c r="P605" i="1"/>
  <c r="K606" i="1"/>
  <c r="L606" i="1"/>
  <c r="M606" i="1"/>
  <c r="N606" i="1"/>
  <c r="P606" i="1"/>
  <c r="K607" i="1"/>
  <c r="L607" i="1"/>
  <c r="M607" i="1"/>
  <c r="N607" i="1"/>
  <c r="P607" i="1"/>
  <c r="K608" i="1"/>
  <c r="L608" i="1"/>
  <c r="M608" i="1"/>
  <c r="N608" i="1"/>
  <c r="P608" i="1"/>
  <c r="K609" i="1"/>
  <c r="L609" i="1"/>
  <c r="M609" i="1"/>
  <c r="N609" i="1"/>
  <c r="P609" i="1"/>
  <c r="K610" i="1"/>
  <c r="L610" i="1"/>
  <c r="M610" i="1"/>
  <c r="N610" i="1"/>
  <c r="P610" i="1"/>
  <c r="K611" i="1"/>
  <c r="L611" i="1"/>
  <c r="M611" i="1"/>
  <c r="N611" i="1"/>
  <c r="P611" i="1"/>
  <c r="K612" i="1"/>
  <c r="L612" i="1"/>
  <c r="M612" i="1"/>
  <c r="N612" i="1"/>
  <c r="P612" i="1"/>
  <c r="K613" i="1"/>
  <c r="L613" i="1"/>
  <c r="M613" i="1"/>
  <c r="N613" i="1"/>
  <c r="P613" i="1"/>
  <c r="K614" i="1"/>
  <c r="L614" i="1"/>
  <c r="M614" i="1"/>
  <c r="N614" i="1"/>
  <c r="P614" i="1"/>
  <c r="K615" i="1"/>
  <c r="L615" i="1"/>
  <c r="M615" i="1"/>
  <c r="N615" i="1"/>
  <c r="P615" i="1"/>
  <c r="K616" i="1"/>
  <c r="L616" i="1"/>
  <c r="M616" i="1"/>
  <c r="N616" i="1"/>
  <c r="P616" i="1"/>
  <c r="K617" i="1"/>
  <c r="L617" i="1"/>
  <c r="M617" i="1"/>
  <c r="N617" i="1"/>
  <c r="P617" i="1"/>
  <c r="K618" i="1"/>
  <c r="L618" i="1"/>
  <c r="M618" i="1"/>
  <c r="N618" i="1"/>
  <c r="P618" i="1"/>
  <c r="K619" i="1"/>
  <c r="L619" i="1"/>
  <c r="M619" i="1"/>
  <c r="N619" i="1"/>
  <c r="P619" i="1"/>
  <c r="K620" i="1"/>
  <c r="L620" i="1"/>
  <c r="M620" i="1"/>
  <c r="N620" i="1"/>
  <c r="P620" i="1"/>
  <c r="K621" i="1"/>
  <c r="L621" i="1"/>
  <c r="M621" i="1"/>
  <c r="N621" i="1"/>
  <c r="P621" i="1"/>
  <c r="K622" i="1"/>
  <c r="L622" i="1"/>
  <c r="M622" i="1"/>
  <c r="N622" i="1"/>
  <c r="P622" i="1"/>
  <c r="K623" i="1"/>
  <c r="L623" i="1"/>
  <c r="M623" i="1"/>
  <c r="N623" i="1"/>
  <c r="P623" i="1"/>
  <c r="K624" i="1"/>
  <c r="L624" i="1"/>
  <c r="M624" i="1"/>
  <c r="N624" i="1"/>
  <c r="P624" i="1"/>
  <c r="K625" i="1"/>
  <c r="L625" i="1"/>
  <c r="M625" i="1"/>
  <c r="N625" i="1"/>
  <c r="P625" i="1"/>
  <c r="K626" i="1"/>
  <c r="L626" i="1"/>
  <c r="M626" i="1"/>
  <c r="N626" i="1"/>
  <c r="P626" i="1"/>
  <c r="K627" i="1"/>
  <c r="L627" i="1"/>
  <c r="M627" i="1"/>
  <c r="N627" i="1"/>
  <c r="P627" i="1"/>
  <c r="K628" i="1"/>
  <c r="L628" i="1"/>
  <c r="M628" i="1"/>
  <c r="N628" i="1"/>
  <c r="P628" i="1"/>
  <c r="K629" i="1"/>
  <c r="L629" i="1"/>
  <c r="M629" i="1"/>
  <c r="N629" i="1"/>
  <c r="P629" i="1"/>
  <c r="K630" i="1"/>
  <c r="L630" i="1"/>
  <c r="M630" i="1"/>
  <c r="N630" i="1"/>
  <c r="P630" i="1"/>
  <c r="K631" i="1"/>
  <c r="L631" i="1"/>
  <c r="M631" i="1"/>
  <c r="N631" i="1"/>
  <c r="P631" i="1"/>
  <c r="K632" i="1"/>
  <c r="L632" i="1"/>
  <c r="M632" i="1"/>
  <c r="N632" i="1"/>
  <c r="P632" i="1"/>
  <c r="K633" i="1"/>
  <c r="L633" i="1"/>
  <c r="M633" i="1"/>
  <c r="N633" i="1"/>
  <c r="P633" i="1"/>
  <c r="K634" i="1"/>
  <c r="L634" i="1"/>
  <c r="M634" i="1"/>
  <c r="N634" i="1"/>
  <c r="P634" i="1"/>
  <c r="K635" i="1"/>
  <c r="L635" i="1"/>
  <c r="M635" i="1"/>
  <c r="N635" i="1"/>
  <c r="P635" i="1"/>
  <c r="K636" i="1"/>
  <c r="L636" i="1"/>
  <c r="M636" i="1"/>
  <c r="N636" i="1"/>
  <c r="P636" i="1"/>
  <c r="K637" i="1"/>
  <c r="L637" i="1"/>
  <c r="M637" i="1"/>
  <c r="N637" i="1"/>
  <c r="P637" i="1"/>
  <c r="K638" i="1"/>
  <c r="L638" i="1"/>
  <c r="M638" i="1"/>
  <c r="N638" i="1"/>
  <c r="P638" i="1"/>
  <c r="K639" i="1"/>
  <c r="L639" i="1"/>
  <c r="M639" i="1"/>
  <c r="N639" i="1"/>
  <c r="P639" i="1"/>
  <c r="K640" i="1"/>
  <c r="L640" i="1"/>
  <c r="M640" i="1"/>
  <c r="N640" i="1"/>
  <c r="P640" i="1"/>
  <c r="K641" i="1"/>
  <c r="L641" i="1"/>
  <c r="M641" i="1"/>
  <c r="N641" i="1"/>
  <c r="P641" i="1"/>
  <c r="K642" i="1"/>
  <c r="L642" i="1"/>
  <c r="M642" i="1"/>
  <c r="N642" i="1"/>
  <c r="P642" i="1"/>
  <c r="K643" i="1"/>
  <c r="L643" i="1"/>
  <c r="M643" i="1"/>
  <c r="N643" i="1"/>
  <c r="P643" i="1"/>
  <c r="K644" i="1"/>
  <c r="L644" i="1"/>
  <c r="M644" i="1"/>
  <c r="N644" i="1"/>
  <c r="P644" i="1"/>
  <c r="K645" i="1"/>
  <c r="L645" i="1"/>
  <c r="M645" i="1"/>
  <c r="N645" i="1"/>
  <c r="P645" i="1"/>
  <c r="K646" i="1"/>
  <c r="L646" i="1"/>
  <c r="M646" i="1"/>
  <c r="N646" i="1"/>
  <c r="P646" i="1"/>
  <c r="K647" i="1"/>
  <c r="L647" i="1"/>
  <c r="M647" i="1"/>
  <c r="N647" i="1"/>
  <c r="P647" i="1"/>
  <c r="K648" i="1"/>
  <c r="L648" i="1"/>
  <c r="M648" i="1"/>
  <c r="N648" i="1"/>
  <c r="P648" i="1"/>
  <c r="K649" i="1"/>
  <c r="L649" i="1"/>
  <c r="M649" i="1"/>
  <c r="N649" i="1"/>
  <c r="P649" i="1"/>
  <c r="K650" i="1"/>
  <c r="L650" i="1"/>
  <c r="M650" i="1"/>
  <c r="N650" i="1"/>
  <c r="P650" i="1"/>
  <c r="K651" i="1"/>
  <c r="L651" i="1"/>
  <c r="M651" i="1"/>
  <c r="N651" i="1"/>
  <c r="P651" i="1"/>
  <c r="K652" i="1"/>
  <c r="L652" i="1"/>
  <c r="M652" i="1"/>
  <c r="N652" i="1"/>
  <c r="P652" i="1"/>
  <c r="K653" i="1"/>
  <c r="L653" i="1"/>
  <c r="M653" i="1"/>
  <c r="N653" i="1"/>
  <c r="P653" i="1"/>
  <c r="K654" i="1"/>
  <c r="L654" i="1"/>
  <c r="M654" i="1"/>
  <c r="N654" i="1"/>
  <c r="P654" i="1"/>
  <c r="K655" i="1"/>
  <c r="L655" i="1"/>
  <c r="M655" i="1"/>
  <c r="N655" i="1"/>
  <c r="P655" i="1"/>
  <c r="K656" i="1"/>
  <c r="L656" i="1"/>
  <c r="M656" i="1"/>
  <c r="N656" i="1"/>
  <c r="P656" i="1"/>
  <c r="K657" i="1"/>
  <c r="L657" i="1"/>
  <c r="M657" i="1"/>
  <c r="N657" i="1"/>
  <c r="P657" i="1"/>
  <c r="K658" i="1"/>
  <c r="L658" i="1"/>
  <c r="M658" i="1"/>
  <c r="N658" i="1"/>
  <c r="P658" i="1"/>
  <c r="K659" i="1"/>
  <c r="L659" i="1"/>
  <c r="M659" i="1"/>
  <c r="N659" i="1"/>
  <c r="P659" i="1"/>
  <c r="K660" i="1"/>
  <c r="L660" i="1"/>
  <c r="M660" i="1"/>
  <c r="N660" i="1"/>
  <c r="P660" i="1"/>
  <c r="K661" i="1"/>
  <c r="L661" i="1"/>
  <c r="M661" i="1"/>
  <c r="N661" i="1"/>
  <c r="P661" i="1"/>
  <c r="K662" i="1"/>
  <c r="L662" i="1"/>
  <c r="M662" i="1"/>
  <c r="N662" i="1"/>
  <c r="P662" i="1"/>
  <c r="K663" i="1"/>
  <c r="L663" i="1"/>
  <c r="M663" i="1"/>
  <c r="N663" i="1"/>
  <c r="P663" i="1"/>
  <c r="K664" i="1"/>
  <c r="L664" i="1"/>
  <c r="M664" i="1"/>
  <c r="N664" i="1"/>
  <c r="P664" i="1"/>
  <c r="K665" i="1"/>
  <c r="L665" i="1"/>
  <c r="M665" i="1"/>
  <c r="N665" i="1"/>
  <c r="P665" i="1"/>
  <c r="K666" i="1"/>
  <c r="L666" i="1"/>
  <c r="M666" i="1"/>
  <c r="N666" i="1"/>
  <c r="P666" i="1"/>
  <c r="K667" i="1"/>
  <c r="L667" i="1"/>
  <c r="M667" i="1"/>
  <c r="N667" i="1"/>
  <c r="P667" i="1"/>
  <c r="K668" i="1"/>
  <c r="L668" i="1"/>
  <c r="M668" i="1"/>
  <c r="N668" i="1"/>
  <c r="P668" i="1"/>
  <c r="K669" i="1"/>
  <c r="L669" i="1"/>
  <c r="M669" i="1"/>
  <c r="N669" i="1"/>
  <c r="P669" i="1"/>
  <c r="K670" i="1"/>
  <c r="L670" i="1"/>
  <c r="M670" i="1"/>
  <c r="N670" i="1"/>
  <c r="P670" i="1"/>
  <c r="K671" i="1"/>
  <c r="L671" i="1"/>
  <c r="M671" i="1"/>
  <c r="N671" i="1"/>
  <c r="P671" i="1"/>
  <c r="K672" i="1"/>
  <c r="L672" i="1"/>
  <c r="M672" i="1"/>
  <c r="N672" i="1"/>
  <c r="P672" i="1"/>
  <c r="K673" i="1"/>
  <c r="L673" i="1"/>
  <c r="M673" i="1"/>
  <c r="N673" i="1"/>
  <c r="P673" i="1"/>
  <c r="K674" i="1"/>
  <c r="L674" i="1"/>
  <c r="M674" i="1"/>
  <c r="N674" i="1"/>
  <c r="P674" i="1"/>
  <c r="K675" i="1"/>
  <c r="L675" i="1"/>
  <c r="M675" i="1"/>
  <c r="N675" i="1"/>
  <c r="P675" i="1"/>
  <c r="K676" i="1"/>
  <c r="L676" i="1"/>
  <c r="M676" i="1"/>
  <c r="N676" i="1"/>
  <c r="P676" i="1"/>
  <c r="K677" i="1"/>
  <c r="L677" i="1"/>
  <c r="M677" i="1"/>
  <c r="N677" i="1"/>
  <c r="P677" i="1"/>
  <c r="K678" i="1"/>
  <c r="L678" i="1"/>
  <c r="M678" i="1"/>
  <c r="N678" i="1"/>
  <c r="P678" i="1"/>
  <c r="K679" i="1"/>
  <c r="L679" i="1"/>
  <c r="M679" i="1"/>
  <c r="N679" i="1"/>
  <c r="P679" i="1"/>
  <c r="K680" i="1"/>
  <c r="L680" i="1"/>
  <c r="M680" i="1"/>
  <c r="N680" i="1"/>
  <c r="P680" i="1"/>
  <c r="K681" i="1"/>
  <c r="L681" i="1"/>
  <c r="M681" i="1"/>
  <c r="N681" i="1"/>
  <c r="P681" i="1"/>
  <c r="K682" i="1"/>
  <c r="L682" i="1"/>
  <c r="M682" i="1"/>
  <c r="N682" i="1"/>
  <c r="P682" i="1"/>
  <c r="K683" i="1"/>
  <c r="L683" i="1"/>
  <c r="M683" i="1"/>
  <c r="N683" i="1"/>
  <c r="P683" i="1"/>
  <c r="K684" i="1"/>
  <c r="L684" i="1"/>
  <c r="M684" i="1"/>
  <c r="N684" i="1"/>
  <c r="P684" i="1"/>
  <c r="K685" i="1"/>
  <c r="L685" i="1"/>
  <c r="M685" i="1"/>
  <c r="N685" i="1"/>
  <c r="P685" i="1"/>
  <c r="K686" i="1"/>
  <c r="L686" i="1"/>
  <c r="M686" i="1"/>
  <c r="N686" i="1"/>
  <c r="P686" i="1"/>
  <c r="K687" i="1"/>
  <c r="L687" i="1"/>
  <c r="M687" i="1"/>
  <c r="N687" i="1"/>
  <c r="P687" i="1"/>
  <c r="K688" i="1"/>
  <c r="L688" i="1"/>
  <c r="M688" i="1"/>
  <c r="N688" i="1"/>
  <c r="P688" i="1"/>
  <c r="K689" i="1"/>
  <c r="L689" i="1"/>
  <c r="M689" i="1"/>
  <c r="N689" i="1"/>
  <c r="P689" i="1"/>
  <c r="K690" i="1"/>
  <c r="L690" i="1"/>
  <c r="M690" i="1"/>
  <c r="N690" i="1"/>
  <c r="P690" i="1"/>
  <c r="K691" i="1"/>
  <c r="L691" i="1"/>
  <c r="M691" i="1"/>
  <c r="N691" i="1"/>
  <c r="P691" i="1"/>
  <c r="K692" i="1"/>
  <c r="L692" i="1"/>
  <c r="M692" i="1"/>
  <c r="N692" i="1"/>
  <c r="P692" i="1"/>
  <c r="K693" i="1"/>
  <c r="L693" i="1"/>
  <c r="M693" i="1"/>
  <c r="N693" i="1"/>
  <c r="P693" i="1"/>
  <c r="K694" i="1"/>
  <c r="L694" i="1"/>
  <c r="M694" i="1"/>
  <c r="N694" i="1"/>
  <c r="P694" i="1"/>
  <c r="K695" i="1"/>
  <c r="L695" i="1"/>
  <c r="M695" i="1"/>
  <c r="N695" i="1"/>
  <c r="P695" i="1"/>
  <c r="K696" i="1"/>
  <c r="L696" i="1"/>
  <c r="M696" i="1"/>
  <c r="N696" i="1"/>
  <c r="P696" i="1"/>
  <c r="K697" i="1"/>
  <c r="L697" i="1"/>
  <c r="M697" i="1"/>
  <c r="N697" i="1"/>
  <c r="P697" i="1"/>
  <c r="K698" i="1"/>
  <c r="L698" i="1"/>
  <c r="M698" i="1"/>
  <c r="N698" i="1"/>
  <c r="P698" i="1"/>
  <c r="K699" i="1"/>
  <c r="L699" i="1"/>
  <c r="M699" i="1"/>
  <c r="N699" i="1"/>
  <c r="P699" i="1"/>
  <c r="K700" i="1"/>
  <c r="L700" i="1"/>
  <c r="M700" i="1"/>
  <c r="N700" i="1"/>
  <c r="P700" i="1"/>
  <c r="K701" i="1"/>
  <c r="L701" i="1"/>
  <c r="M701" i="1"/>
  <c r="N701" i="1"/>
  <c r="P701" i="1"/>
  <c r="K702" i="1"/>
  <c r="L702" i="1"/>
  <c r="M702" i="1"/>
  <c r="N702" i="1"/>
  <c r="P702" i="1"/>
  <c r="K703" i="1"/>
  <c r="L703" i="1"/>
  <c r="M703" i="1"/>
  <c r="N703" i="1"/>
  <c r="P703" i="1"/>
  <c r="K704" i="1"/>
  <c r="L704" i="1"/>
  <c r="M704" i="1"/>
  <c r="N704" i="1"/>
  <c r="P704" i="1"/>
  <c r="K705" i="1"/>
  <c r="L705" i="1"/>
  <c r="M705" i="1"/>
  <c r="N705" i="1"/>
  <c r="P705" i="1"/>
  <c r="K706" i="1"/>
  <c r="L706" i="1"/>
  <c r="M706" i="1"/>
  <c r="N706" i="1"/>
  <c r="P706" i="1"/>
  <c r="K707" i="1"/>
  <c r="L707" i="1"/>
  <c r="M707" i="1"/>
  <c r="N707" i="1"/>
  <c r="P707" i="1"/>
  <c r="K708" i="1"/>
  <c r="L708" i="1"/>
  <c r="M708" i="1"/>
  <c r="N708" i="1"/>
  <c r="P708" i="1"/>
  <c r="K709" i="1"/>
  <c r="L709" i="1"/>
  <c r="M709" i="1"/>
  <c r="N709" i="1"/>
  <c r="P709" i="1"/>
  <c r="K710" i="1"/>
  <c r="L710" i="1"/>
  <c r="M710" i="1"/>
  <c r="N710" i="1"/>
  <c r="P710" i="1"/>
  <c r="K711" i="1"/>
  <c r="L711" i="1"/>
  <c r="M711" i="1"/>
  <c r="N711" i="1"/>
  <c r="P711" i="1"/>
  <c r="K712" i="1"/>
  <c r="L712" i="1"/>
  <c r="M712" i="1"/>
  <c r="N712" i="1"/>
  <c r="P712" i="1"/>
  <c r="K713" i="1"/>
  <c r="L713" i="1"/>
  <c r="M713" i="1"/>
  <c r="N713" i="1"/>
  <c r="P713" i="1"/>
  <c r="K714" i="1"/>
  <c r="L714" i="1"/>
  <c r="M714" i="1"/>
  <c r="N714" i="1"/>
  <c r="P714" i="1"/>
  <c r="K715" i="1"/>
  <c r="L715" i="1"/>
  <c r="M715" i="1"/>
  <c r="N715" i="1"/>
  <c r="P715" i="1"/>
  <c r="K716" i="1"/>
  <c r="L716" i="1"/>
  <c r="M716" i="1"/>
  <c r="N716" i="1"/>
  <c r="P716" i="1"/>
  <c r="K717" i="1"/>
  <c r="L717" i="1"/>
  <c r="M717" i="1"/>
  <c r="N717" i="1"/>
  <c r="P717" i="1"/>
  <c r="K718" i="1"/>
  <c r="L718" i="1"/>
  <c r="M718" i="1"/>
  <c r="N718" i="1"/>
  <c r="P718" i="1"/>
  <c r="K719" i="1"/>
  <c r="L719" i="1"/>
  <c r="M719" i="1"/>
  <c r="N719" i="1"/>
  <c r="P719" i="1"/>
  <c r="K720" i="1"/>
  <c r="L720" i="1"/>
  <c r="M720" i="1"/>
  <c r="N720" i="1"/>
  <c r="P720" i="1"/>
  <c r="K721" i="1"/>
  <c r="L721" i="1"/>
  <c r="M721" i="1"/>
  <c r="N721" i="1"/>
  <c r="P721" i="1"/>
  <c r="K722" i="1"/>
  <c r="L722" i="1"/>
  <c r="M722" i="1"/>
  <c r="N722" i="1"/>
  <c r="P722" i="1"/>
  <c r="K723" i="1"/>
  <c r="L723" i="1"/>
  <c r="M723" i="1"/>
  <c r="N723" i="1"/>
  <c r="P723" i="1"/>
  <c r="K724" i="1"/>
  <c r="L724" i="1"/>
  <c r="M724" i="1"/>
  <c r="N724" i="1"/>
  <c r="P724" i="1"/>
  <c r="K725" i="1"/>
  <c r="L725" i="1"/>
  <c r="M725" i="1"/>
  <c r="N725" i="1"/>
  <c r="P725" i="1"/>
  <c r="K726" i="1"/>
  <c r="L726" i="1"/>
  <c r="M726" i="1"/>
  <c r="N726" i="1"/>
  <c r="P726" i="1"/>
  <c r="K727" i="1"/>
  <c r="L727" i="1"/>
  <c r="M727" i="1"/>
  <c r="N727" i="1"/>
  <c r="P727" i="1"/>
  <c r="K728" i="1"/>
  <c r="L728" i="1"/>
  <c r="M728" i="1"/>
  <c r="N728" i="1"/>
  <c r="P728" i="1"/>
  <c r="K729" i="1"/>
  <c r="L729" i="1"/>
  <c r="M729" i="1"/>
  <c r="N729" i="1"/>
  <c r="P729" i="1"/>
  <c r="K730" i="1"/>
  <c r="L730" i="1"/>
  <c r="M730" i="1"/>
  <c r="N730" i="1"/>
  <c r="P730" i="1"/>
  <c r="K731" i="1"/>
  <c r="L731" i="1"/>
  <c r="M731" i="1"/>
  <c r="N731" i="1"/>
  <c r="P731" i="1"/>
  <c r="K732" i="1"/>
  <c r="L732" i="1"/>
  <c r="M732" i="1"/>
  <c r="N732" i="1"/>
  <c r="P732" i="1"/>
  <c r="K733" i="1"/>
  <c r="L733" i="1"/>
  <c r="M733" i="1"/>
  <c r="N733" i="1"/>
  <c r="P733" i="1"/>
  <c r="K734" i="1"/>
  <c r="L734" i="1"/>
  <c r="M734" i="1"/>
  <c r="N734" i="1"/>
  <c r="P734" i="1"/>
  <c r="K735" i="1"/>
  <c r="L735" i="1"/>
  <c r="M735" i="1"/>
  <c r="N735" i="1"/>
  <c r="P735" i="1"/>
  <c r="K736" i="1"/>
  <c r="L736" i="1"/>
  <c r="M736" i="1"/>
  <c r="N736" i="1"/>
  <c r="P736" i="1"/>
  <c r="K737" i="1"/>
  <c r="L737" i="1"/>
  <c r="M737" i="1"/>
  <c r="N737" i="1"/>
  <c r="P737" i="1"/>
  <c r="K738" i="1"/>
  <c r="L738" i="1"/>
  <c r="M738" i="1"/>
  <c r="N738" i="1"/>
  <c r="P738" i="1"/>
  <c r="K739" i="1"/>
  <c r="L739" i="1"/>
  <c r="M739" i="1"/>
  <c r="N739" i="1"/>
  <c r="P739" i="1"/>
  <c r="K740" i="1"/>
  <c r="L740" i="1"/>
  <c r="M740" i="1"/>
  <c r="N740" i="1"/>
  <c r="P740" i="1"/>
  <c r="K741" i="1"/>
  <c r="L741" i="1"/>
  <c r="M741" i="1"/>
  <c r="N741" i="1"/>
  <c r="P741" i="1"/>
  <c r="K742" i="1"/>
  <c r="L742" i="1"/>
  <c r="M742" i="1"/>
  <c r="N742" i="1"/>
  <c r="P742" i="1"/>
  <c r="K743" i="1"/>
  <c r="L743" i="1"/>
  <c r="M743" i="1"/>
  <c r="N743" i="1"/>
  <c r="P743" i="1"/>
  <c r="K744" i="1"/>
  <c r="L744" i="1"/>
  <c r="M744" i="1"/>
  <c r="N744" i="1"/>
  <c r="P744" i="1"/>
  <c r="K745" i="1"/>
  <c r="L745" i="1"/>
  <c r="M745" i="1"/>
  <c r="N745" i="1"/>
  <c r="P745" i="1"/>
  <c r="K746" i="1"/>
  <c r="L746" i="1"/>
  <c r="M746" i="1"/>
  <c r="N746" i="1"/>
  <c r="P746" i="1"/>
  <c r="K747" i="1"/>
  <c r="L747" i="1"/>
  <c r="M747" i="1"/>
  <c r="N747" i="1"/>
  <c r="P747" i="1"/>
  <c r="K748" i="1"/>
  <c r="L748" i="1"/>
  <c r="M748" i="1"/>
  <c r="N748" i="1"/>
  <c r="P748" i="1"/>
  <c r="K749" i="1"/>
  <c r="L749" i="1"/>
  <c r="M749" i="1"/>
  <c r="N749" i="1"/>
  <c r="P749" i="1"/>
  <c r="K750" i="1"/>
  <c r="L750" i="1"/>
  <c r="M750" i="1"/>
  <c r="N750" i="1"/>
  <c r="P750" i="1"/>
  <c r="K751" i="1"/>
  <c r="L751" i="1"/>
  <c r="M751" i="1"/>
  <c r="N751" i="1"/>
  <c r="P751" i="1"/>
  <c r="K752" i="1"/>
  <c r="L752" i="1"/>
  <c r="M752" i="1"/>
  <c r="N752" i="1"/>
  <c r="P752" i="1"/>
  <c r="K753" i="1"/>
  <c r="L753" i="1"/>
  <c r="M753" i="1"/>
  <c r="N753" i="1"/>
  <c r="P753" i="1"/>
  <c r="K754" i="1"/>
  <c r="L754" i="1"/>
  <c r="M754" i="1"/>
  <c r="N754" i="1"/>
  <c r="P754" i="1"/>
  <c r="K755" i="1"/>
  <c r="L755" i="1"/>
  <c r="M755" i="1"/>
  <c r="N755" i="1"/>
  <c r="P755" i="1"/>
  <c r="K756" i="1"/>
  <c r="L756" i="1"/>
  <c r="M756" i="1"/>
  <c r="N756" i="1"/>
  <c r="P756" i="1"/>
  <c r="K757" i="1"/>
  <c r="L757" i="1"/>
  <c r="M757" i="1"/>
  <c r="N757" i="1"/>
  <c r="P757" i="1"/>
  <c r="K758" i="1"/>
  <c r="L758" i="1"/>
  <c r="M758" i="1"/>
  <c r="N758" i="1"/>
  <c r="P758" i="1"/>
  <c r="K759" i="1"/>
  <c r="L759" i="1"/>
  <c r="M759" i="1"/>
  <c r="N759" i="1"/>
  <c r="P759" i="1"/>
  <c r="K760" i="1"/>
  <c r="L760" i="1"/>
  <c r="M760" i="1"/>
  <c r="N760" i="1"/>
  <c r="P760" i="1"/>
  <c r="K761" i="1"/>
  <c r="L761" i="1"/>
  <c r="M761" i="1"/>
  <c r="N761" i="1"/>
  <c r="P761" i="1"/>
  <c r="K762" i="1"/>
  <c r="L762" i="1"/>
  <c r="M762" i="1"/>
  <c r="N762" i="1"/>
  <c r="P762" i="1"/>
  <c r="K763" i="1"/>
  <c r="L763" i="1"/>
  <c r="M763" i="1"/>
  <c r="N763" i="1"/>
  <c r="P763" i="1"/>
  <c r="K764" i="1"/>
  <c r="L764" i="1"/>
  <c r="M764" i="1"/>
  <c r="N764" i="1"/>
  <c r="P764" i="1"/>
  <c r="K765" i="1"/>
  <c r="L765" i="1"/>
  <c r="M765" i="1"/>
  <c r="N765" i="1"/>
  <c r="P765" i="1"/>
  <c r="K766" i="1"/>
  <c r="L766" i="1"/>
  <c r="M766" i="1"/>
  <c r="N766" i="1"/>
  <c r="P766" i="1"/>
  <c r="K767" i="1"/>
  <c r="L767" i="1"/>
  <c r="M767" i="1"/>
  <c r="N767" i="1"/>
  <c r="P767" i="1"/>
  <c r="K768" i="1"/>
  <c r="L768" i="1"/>
  <c r="M768" i="1"/>
  <c r="N768" i="1"/>
  <c r="P768" i="1"/>
  <c r="K769" i="1"/>
  <c r="L769" i="1"/>
  <c r="M769" i="1"/>
  <c r="N769" i="1"/>
  <c r="P769" i="1"/>
  <c r="K770" i="1"/>
  <c r="L770" i="1"/>
  <c r="M770" i="1"/>
  <c r="N770" i="1"/>
  <c r="P770" i="1"/>
  <c r="K771" i="1"/>
  <c r="L771" i="1"/>
  <c r="M771" i="1"/>
  <c r="N771" i="1"/>
  <c r="P771" i="1"/>
  <c r="K772" i="1"/>
  <c r="L772" i="1"/>
  <c r="M772" i="1"/>
  <c r="N772" i="1"/>
  <c r="P772" i="1"/>
  <c r="K773" i="1"/>
  <c r="L773" i="1"/>
  <c r="M773" i="1"/>
  <c r="N773" i="1"/>
  <c r="P773" i="1"/>
  <c r="K774" i="1"/>
  <c r="L774" i="1"/>
  <c r="M774" i="1"/>
  <c r="N774" i="1"/>
  <c r="P774" i="1"/>
  <c r="K775" i="1"/>
  <c r="L775" i="1"/>
  <c r="M775" i="1"/>
  <c r="N775" i="1"/>
  <c r="P775" i="1"/>
  <c r="K776" i="1"/>
  <c r="L776" i="1"/>
  <c r="M776" i="1"/>
  <c r="N776" i="1"/>
  <c r="P776" i="1"/>
  <c r="K777" i="1"/>
  <c r="L777" i="1"/>
  <c r="M777" i="1"/>
  <c r="N777" i="1"/>
  <c r="P777" i="1"/>
  <c r="K778" i="1"/>
  <c r="L778" i="1"/>
  <c r="M778" i="1"/>
  <c r="N778" i="1"/>
  <c r="P778" i="1"/>
  <c r="K779" i="1"/>
  <c r="L779" i="1"/>
  <c r="M779" i="1"/>
  <c r="N779" i="1"/>
  <c r="P779" i="1"/>
  <c r="K780" i="1"/>
  <c r="L780" i="1"/>
  <c r="M780" i="1"/>
  <c r="N780" i="1"/>
  <c r="P780" i="1"/>
  <c r="K781" i="1"/>
  <c r="L781" i="1"/>
  <c r="M781" i="1"/>
  <c r="N781" i="1"/>
  <c r="P781" i="1"/>
  <c r="K782" i="1"/>
  <c r="L782" i="1"/>
  <c r="M782" i="1"/>
  <c r="N782" i="1"/>
  <c r="P782" i="1"/>
  <c r="K783" i="1"/>
  <c r="L783" i="1"/>
  <c r="M783" i="1"/>
  <c r="N783" i="1"/>
  <c r="P783" i="1"/>
  <c r="K784" i="1"/>
  <c r="L784" i="1"/>
  <c r="M784" i="1"/>
  <c r="N784" i="1"/>
  <c r="P784" i="1"/>
  <c r="K785" i="1"/>
  <c r="L785" i="1"/>
  <c r="M785" i="1"/>
  <c r="N785" i="1"/>
  <c r="P785" i="1"/>
  <c r="K786" i="1"/>
  <c r="L786" i="1"/>
  <c r="M786" i="1"/>
  <c r="N786" i="1"/>
  <c r="P786" i="1"/>
  <c r="K787" i="1"/>
  <c r="L787" i="1"/>
  <c r="M787" i="1"/>
  <c r="N787" i="1"/>
  <c r="P787" i="1"/>
  <c r="K788" i="1"/>
  <c r="L788" i="1"/>
  <c r="M788" i="1"/>
  <c r="N788" i="1"/>
  <c r="P788" i="1"/>
  <c r="K789" i="1"/>
  <c r="L789" i="1"/>
  <c r="M789" i="1"/>
  <c r="N789" i="1"/>
  <c r="P789" i="1"/>
  <c r="K790" i="1"/>
  <c r="L790" i="1"/>
  <c r="M790" i="1"/>
  <c r="N790" i="1"/>
  <c r="P790" i="1"/>
  <c r="K791" i="1"/>
  <c r="L791" i="1"/>
  <c r="M791" i="1"/>
  <c r="N791" i="1"/>
  <c r="P791" i="1"/>
  <c r="K792" i="1"/>
  <c r="L792" i="1"/>
  <c r="M792" i="1"/>
  <c r="N792" i="1"/>
  <c r="P792" i="1"/>
  <c r="K793" i="1"/>
  <c r="L793" i="1"/>
  <c r="M793" i="1"/>
  <c r="N793" i="1"/>
  <c r="P793" i="1"/>
  <c r="K794" i="1"/>
  <c r="L794" i="1"/>
  <c r="M794" i="1"/>
  <c r="N794" i="1"/>
  <c r="P794" i="1"/>
  <c r="K795" i="1"/>
  <c r="L795" i="1"/>
  <c r="M795" i="1"/>
  <c r="N795" i="1"/>
  <c r="P795" i="1"/>
  <c r="K796" i="1"/>
  <c r="L796" i="1"/>
  <c r="M796" i="1"/>
  <c r="N796" i="1"/>
  <c r="P796" i="1"/>
  <c r="K797" i="1"/>
  <c r="L797" i="1"/>
  <c r="M797" i="1"/>
  <c r="N797" i="1"/>
  <c r="P797" i="1"/>
  <c r="K798" i="1"/>
  <c r="L798" i="1"/>
  <c r="M798" i="1"/>
  <c r="N798" i="1"/>
  <c r="P798" i="1"/>
  <c r="K799" i="1"/>
  <c r="L799" i="1"/>
  <c r="M799" i="1"/>
  <c r="N799" i="1"/>
  <c r="P799" i="1"/>
  <c r="K800" i="1"/>
  <c r="L800" i="1"/>
  <c r="M800" i="1"/>
  <c r="N800" i="1"/>
  <c r="P800" i="1"/>
  <c r="K801" i="1"/>
  <c r="L801" i="1"/>
  <c r="M801" i="1"/>
  <c r="N801" i="1"/>
  <c r="P801" i="1"/>
  <c r="K802" i="1"/>
  <c r="L802" i="1"/>
  <c r="M802" i="1"/>
  <c r="N802" i="1"/>
  <c r="P802" i="1"/>
  <c r="K803" i="1"/>
  <c r="L803" i="1"/>
  <c r="M803" i="1"/>
  <c r="N803" i="1"/>
  <c r="P803" i="1"/>
  <c r="K804" i="1"/>
  <c r="L804" i="1"/>
  <c r="M804" i="1"/>
  <c r="N804" i="1"/>
  <c r="P804" i="1"/>
  <c r="K805" i="1"/>
  <c r="L805" i="1"/>
  <c r="M805" i="1"/>
  <c r="N805" i="1"/>
  <c r="P805" i="1"/>
  <c r="K806" i="1"/>
  <c r="L806" i="1"/>
  <c r="M806" i="1"/>
  <c r="N806" i="1"/>
  <c r="P806" i="1"/>
  <c r="K807" i="1"/>
  <c r="L807" i="1"/>
  <c r="M807" i="1"/>
  <c r="N807" i="1"/>
  <c r="P807" i="1"/>
  <c r="K808" i="1"/>
  <c r="L808" i="1"/>
  <c r="M808" i="1"/>
  <c r="N808" i="1"/>
  <c r="P808" i="1"/>
  <c r="K809" i="1"/>
  <c r="L809" i="1"/>
  <c r="M809" i="1"/>
  <c r="N809" i="1"/>
  <c r="P809" i="1"/>
  <c r="K810" i="1"/>
  <c r="L810" i="1"/>
  <c r="M810" i="1"/>
  <c r="N810" i="1"/>
  <c r="P810" i="1"/>
  <c r="K811" i="1"/>
  <c r="L811" i="1"/>
  <c r="M811" i="1"/>
  <c r="N811" i="1"/>
  <c r="P811" i="1"/>
  <c r="K812" i="1"/>
  <c r="L812" i="1"/>
  <c r="M812" i="1"/>
  <c r="N812" i="1"/>
  <c r="P812" i="1"/>
  <c r="K813" i="1"/>
  <c r="L813" i="1"/>
  <c r="M813" i="1"/>
  <c r="N813" i="1"/>
  <c r="P813" i="1"/>
  <c r="K814" i="1"/>
  <c r="L814" i="1"/>
  <c r="M814" i="1"/>
  <c r="N814" i="1"/>
  <c r="P814" i="1"/>
  <c r="K815" i="1"/>
  <c r="L815" i="1"/>
  <c r="M815" i="1"/>
  <c r="N815" i="1"/>
  <c r="P815" i="1"/>
  <c r="K816" i="1"/>
  <c r="L816" i="1"/>
  <c r="M816" i="1"/>
  <c r="N816" i="1"/>
  <c r="P816" i="1"/>
  <c r="K817" i="1"/>
  <c r="L817" i="1"/>
  <c r="M817" i="1"/>
  <c r="N817" i="1"/>
  <c r="P817" i="1"/>
  <c r="K818" i="1"/>
  <c r="L818" i="1"/>
  <c r="M818" i="1"/>
  <c r="N818" i="1"/>
  <c r="P818" i="1"/>
  <c r="K819" i="1"/>
  <c r="L819" i="1"/>
  <c r="M819" i="1"/>
  <c r="N819" i="1"/>
  <c r="P819" i="1"/>
  <c r="K820" i="1"/>
  <c r="L820" i="1"/>
  <c r="M820" i="1"/>
  <c r="N820" i="1"/>
  <c r="P820" i="1"/>
  <c r="K821" i="1"/>
  <c r="L821" i="1"/>
  <c r="M821" i="1"/>
  <c r="N821" i="1"/>
  <c r="P821" i="1"/>
  <c r="K822" i="1"/>
  <c r="L822" i="1"/>
  <c r="M822" i="1"/>
  <c r="N822" i="1"/>
  <c r="P822" i="1"/>
  <c r="K823" i="1"/>
  <c r="L823" i="1"/>
  <c r="M823" i="1"/>
  <c r="N823" i="1"/>
  <c r="P823" i="1"/>
  <c r="K824" i="1"/>
  <c r="L824" i="1"/>
  <c r="M824" i="1"/>
  <c r="N824" i="1"/>
  <c r="P824" i="1"/>
  <c r="K825" i="1"/>
  <c r="L825" i="1"/>
  <c r="M825" i="1"/>
  <c r="N825" i="1"/>
  <c r="P825" i="1"/>
  <c r="K826" i="1"/>
  <c r="L826" i="1"/>
  <c r="M826" i="1"/>
  <c r="N826" i="1"/>
  <c r="P826" i="1"/>
  <c r="K827" i="1"/>
  <c r="L827" i="1"/>
  <c r="M827" i="1"/>
  <c r="N827" i="1"/>
  <c r="P827" i="1"/>
  <c r="K828" i="1"/>
  <c r="L828" i="1"/>
  <c r="M828" i="1"/>
  <c r="N828" i="1"/>
  <c r="P828" i="1"/>
  <c r="K829" i="1"/>
  <c r="L829" i="1"/>
  <c r="M829" i="1"/>
  <c r="N829" i="1"/>
  <c r="P829" i="1"/>
  <c r="K830" i="1"/>
  <c r="L830" i="1"/>
  <c r="M830" i="1"/>
  <c r="N830" i="1"/>
  <c r="P830" i="1"/>
  <c r="K831" i="1"/>
  <c r="L831" i="1"/>
  <c r="M831" i="1"/>
  <c r="N831" i="1"/>
  <c r="P831" i="1"/>
  <c r="K832" i="1"/>
  <c r="L832" i="1"/>
  <c r="M832" i="1"/>
  <c r="N832" i="1"/>
  <c r="P832" i="1"/>
  <c r="K833" i="1"/>
  <c r="L833" i="1"/>
  <c r="M833" i="1"/>
  <c r="N833" i="1"/>
  <c r="P833" i="1"/>
  <c r="K834" i="1"/>
  <c r="L834" i="1"/>
  <c r="M834" i="1"/>
  <c r="N834" i="1"/>
  <c r="P834" i="1"/>
  <c r="K835" i="1"/>
  <c r="L835" i="1"/>
  <c r="M835" i="1"/>
  <c r="N835" i="1"/>
  <c r="P835" i="1"/>
  <c r="K836" i="1"/>
  <c r="L836" i="1"/>
  <c r="M836" i="1"/>
  <c r="N836" i="1"/>
  <c r="P836" i="1"/>
  <c r="K837" i="1"/>
  <c r="L837" i="1"/>
  <c r="M837" i="1"/>
  <c r="N837" i="1"/>
  <c r="P837" i="1"/>
  <c r="K838" i="1"/>
  <c r="L838" i="1"/>
  <c r="M838" i="1"/>
  <c r="N838" i="1"/>
  <c r="P838" i="1"/>
  <c r="K839" i="1"/>
  <c r="L839" i="1"/>
  <c r="M839" i="1"/>
  <c r="N839" i="1"/>
  <c r="P839" i="1"/>
  <c r="K840" i="1"/>
  <c r="L840" i="1"/>
  <c r="M840" i="1"/>
  <c r="N840" i="1"/>
  <c r="P840" i="1"/>
  <c r="K841" i="1"/>
  <c r="L841" i="1"/>
  <c r="M841" i="1"/>
  <c r="N841" i="1"/>
  <c r="P841" i="1"/>
  <c r="K842" i="1"/>
  <c r="L842" i="1"/>
  <c r="M842" i="1"/>
  <c r="N842" i="1"/>
  <c r="P842" i="1"/>
  <c r="K843" i="1"/>
  <c r="L843" i="1"/>
  <c r="M843" i="1"/>
  <c r="N843" i="1"/>
  <c r="P843" i="1"/>
  <c r="K844" i="1"/>
  <c r="L844" i="1"/>
  <c r="M844" i="1"/>
  <c r="N844" i="1"/>
  <c r="P844" i="1"/>
  <c r="K845" i="1"/>
  <c r="L845" i="1"/>
  <c r="M845" i="1"/>
  <c r="N845" i="1"/>
  <c r="P845" i="1"/>
  <c r="K846" i="1"/>
  <c r="L846" i="1"/>
  <c r="M846" i="1"/>
  <c r="N846" i="1"/>
  <c r="P846" i="1"/>
  <c r="K847" i="1"/>
  <c r="L847" i="1"/>
  <c r="M847" i="1"/>
  <c r="N847" i="1"/>
  <c r="P847" i="1"/>
  <c r="K848" i="1"/>
  <c r="L848" i="1"/>
  <c r="M848" i="1"/>
  <c r="N848" i="1"/>
  <c r="P848" i="1"/>
  <c r="K849" i="1"/>
  <c r="L849" i="1"/>
  <c r="M849" i="1"/>
  <c r="N849" i="1"/>
  <c r="P849" i="1"/>
  <c r="K850" i="1"/>
  <c r="L850" i="1"/>
  <c r="M850" i="1"/>
  <c r="N850" i="1"/>
  <c r="P850" i="1"/>
  <c r="K851" i="1"/>
  <c r="L851" i="1"/>
  <c r="M851" i="1"/>
  <c r="N851" i="1"/>
  <c r="P851" i="1"/>
  <c r="K852" i="1"/>
  <c r="L852" i="1"/>
  <c r="M852" i="1"/>
  <c r="N852" i="1"/>
  <c r="P852" i="1"/>
  <c r="K853" i="1"/>
  <c r="L853" i="1"/>
  <c r="M853" i="1"/>
  <c r="N853" i="1"/>
  <c r="P853" i="1"/>
  <c r="K854" i="1"/>
  <c r="L854" i="1"/>
  <c r="M854" i="1"/>
  <c r="N854" i="1"/>
  <c r="P854" i="1"/>
  <c r="K855" i="1"/>
  <c r="L855" i="1"/>
  <c r="M855" i="1"/>
  <c r="N855" i="1"/>
  <c r="P855" i="1"/>
  <c r="K856" i="1"/>
  <c r="L856" i="1"/>
  <c r="M856" i="1"/>
  <c r="N856" i="1"/>
  <c r="P856" i="1"/>
  <c r="K857" i="1"/>
  <c r="L857" i="1"/>
  <c r="M857" i="1"/>
  <c r="N857" i="1"/>
  <c r="P857" i="1"/>
  <c r="K858" i="1"/>
  <c r="L858" i="1"/>
  <c r="M858" i="1"/>
  <c r="N858" i="1"/>
  <c r="P858" i="1"/>
  <c r="K859" i="1"/>
  <c r="L859" i="1"/>
  <c r="M859" i="1"/>
  <c r="N859" i="1"/>
  <c r="P859" i="1"/>
  <c r="K860" i="1"/>
  <c r="L860" i="1"/>
  <c r="M860" i="1"/>
  <c r="N860" i="1"/>
  <c r="P860" i="1"/>
  <c r="K861" i="1"/>
  <c r="L861" i="1"/>
  <c r="M861" i="1"/>
  <c r="N861" i="1"/>
  <c r="P861" i="1"/>
  <c r="K862" i="1"/>
  <c r="L862" i="1"/>
  <c r="M862" i="1"/>
  <c r="N862" i="1"/>
  <c r="P862" i="1"/>
  <c r="K863" i="1"/>
  <c r="L863" i="1"/>
  <c r="M863" i="1"/>
  <c r="N863" i="1"/>
  <c r="P863" i="1"/>
  <c r="K864" i="1"/>
  <c r="L864" i="1"/>
  <c r="M864" i="1"/>
  <c r="N864" i="1"/>
  <c r="P864" i="1"/>
  <c r="K865" i="1"/>
  <c r="L865" i="1"/>
  <c r="M865" i="1"/>
  <c r="N865" i="1"/>
  <c r="P865" i="1"/>
  <c r="K866" i="1"/>
  <c r="L866" i="1"/>
  <c r="M866" i="1"/>
  <c r="N866" i="1"/>
  <c r="P866" i="1"/>
  <c r="K867" i="1"/>
  <c r="L867" i="1"/>
  <c r="M867" i="1"/>
  <c r="N867" i="1"/>
  <c r="P867" i="1"/>
  <c r="K868" i="1"/>
  <c r="L868" i="1"/>
  <c r="M868" i="1"/>
  <c r="N868" i="1"/>
  <c r="P868" i="1"/>
  <c r="K869" i="1"/>
  <c r="L869" i="1"/>
  <c r="M869" i="1"/>
  <c r="N869" i="1"/>
  <c r="P869" i="1"/>
  <c r="K870" i="1"/>
  <c r="L870" i="1"/>
  <c r="M870" i="1"/>
  <c r="N870" i="1"/>
  <c r="P870" i="1"/>
  <c r="K871" i="1"/>
  <c r="L871" i="1"/>
  <c r="M871" i="1"/>
  <c r="N871" i="1"/>
  <c r="P871" i="1"/>
  <c r="K872" i="1"/>
  <c r="L872" i="1"/>
  <c r="M872" i="1"/>
  <c r="N872" i="1"/>
  <c r="P872" i="1"/>
  <c r="K873" i="1"/>
  <c r="L873" i="1"/>
  <c r="M873" i="1"/>
  <c r="N873" i="1"/>
  <c r="P873" i="1"/>
  <c r="K874" i="1"/>
  <c r="L874" i="1"/>
  <c r="M874" i="1"/>
  <c r="N874" i="1"/>
  <c r="P874" i="1"/>
  <c r="K875" i="1"/>
  <c r="L875" i="1"/>
  <c r="M875" i="1"/>
  <c r="N875" i="1"/>
  <c r="P875" i="1"/>
  <c r="K876" i="1"/>
  <c r="L876" i="1"/>
  <c r="M876" i="1"/>
  <c r="N876" i="1"/>
  <c r="P876" i="1"/>
  <c r="K877" i="1"/>
  <c r="L877" i="1"/>
  <c r="M877" i="1"/>
  <c r="N877" i="1"/>
  <c r="P877" i="1"/>
  <c r="K878" i="1"/>
  <c r="L878" i="1"/>
  <c r="M878" i="1"/>
  <c r="N878" i="1"/>
  <c r="P878" i="1"/>
  <c r="K879" i="1"/>
  <c r="L879" i="1"/>
  <c r="M879" i="1"/>
  <c r="N879" i="1"/>
  <c r="P879" i="1"/>
  <c r="K880" i="1"/>
  <c r="L880" i="1"/>
  <c r="M880" i="1"/>
  <c r="N880" i="1"/>
  <c r="P880" i="1"/>
  <c r="K881" i="1"/>
  <c r="L881" i="1"/>
  <c r="M881" i="1"/>
  <c r="N881" i="1"/>
  <c r="P881" i="1"/>
  <c r="K882" i="1"/>
  <c r="L882" i="1"/>
  <c r="M882" i="1"/>
  <c r="N882" i="1"/>
  <c r="P882" i="1"/>
  <c r="K883" i="1"/>
  <c r="L883" i="1"/>
  <c r="M883" i="1"/>
  <c r="N883" i="1"/>
  <c r="P883" i="1"/>
  <c r="K884" i="1"/>
  <c r="L884" i="1"/>
  <c r="M884" i="1"/>
  <c r="N884" i="1"/>
  <c r="P884" i="1"/>
  <c r="K885" i="1"/>
  <c r="L885" i="1"/>
  <c r="M885" i="1"/>
  <c r="N885" i="1"/>
  <c r="P885" i="1"/>
  <c r="K886" i="1"/>
  <c r="L886" i="1"/>
  <c r="M886" i="1"/>
  <c r="N886" i="1"/>
  <c r="P886" i="1"/>
  <c r="K887" i="1"/>
  <c r="L887" i="1"/>
  <c r="M887" i="1"/>
  <c r="N887" i="1"/>
  <c r="P887" i="1"/>
  <c r="K888" i="1"/>
  <c r="L888" i="1"/>
  <c r="M888" i="1"/>
  <c r="N888" i="1"/>
  <c r="P888" i="1"/>
  <c r="K889" i="1"/>
  <c r="L889" i="1"/>
  <c r="M889" i="1"/>
  <c r="N889" i="1"/>
  <c r="P889" i="1"/>
  <c r="K890" i="1"/>
  <c r="L890" i="1"/>
  <c r="M890" i="1"/>
  <c r="N890" i="1"/>
  <c r="P890" i="1"/>
  <c r="K891" i="1"/>
  <c r="L891" i="1"/>
  <c r="M891" i="1"/>
  <c r="N891" i="1"/>
  <c r="P891" i="1"/>
  <c r="K892" i="1"/>
  <c r="L892" i="1"/>
  <c r="M892" i="1"/>
  <c r="N892" i="1"/>
  <c r="P892" i="1"/>
  <c r="K893" i="1"/>
  <c r="L893" i="1"/>
  <c r="M893" i="1"/>
  <c r="N893" i="1"/>
  <c r="P893" i="1"/>
  <c r="K894" i="1"/>
  <c r="L894" i="1"/>
  <c r="M894" i="1"/>
  <c r="N894" i="1"/>
  <c r="P894" i="1"/>
  <c r="K895" i="1"/>
  <c r="L895" i="1"/>
  <c r="M895" i="1"/>
  <c r="N895" i="1"/>
  <c r="P895" i="1"/>
  <c r="K896" i="1"/>
  <c r="L896" i="1"/>
  <c r="M896" i="1"/>
  <c r="N896" i="1"/>
  <c r="P896" i="1"/>
  <c r="K897" i="1"/>
  <c r="L897" i="1"/>
  <c r="M897" i="1"/>
  <c r="N897" i="1"/>
  <c r="P897" i="1"/>
  <c r="K898" i="1"/>
  <c r="L898" i="1"/>
  <c r="M898" i="1"/>
  <c r="N898" i="1"/>
  <c r="P898" i="1"/>
  <c r="K899" i="1"/>
  <c r="L899" i="1"/>
  <c r="M899" i="1"/>
  <c r="N899" i="1"/>
  <c r="P899" i="1"/>
  <c r="K900" i="1"/>
  <c r="L900" i="1"/>
  <c r="M900" i="1"/>
  <c r="N900" i="1"/>
  <c r="P900" i="1"/>
  <c r="K901" i="1"/>
  <c r="L901" i="1"/>
  <c r="M901" i="1"/>
  <c r="N901" i="1"/>
  <c r="P901" i="1"/>
  <c r="K902" i="1"/>
  <c r="L902" i="1"/>
  <c r="M902" i="1"/>
  <c r="N902" i="1"/>
  <c r="P902" i="1"/>
  <c r="K903" i="1"/>
  <c r="L903" i="1"/>
  <c r="M903" i="1"/>
  <c r="N903" i="1"/>
  <c r="P903" i="1"/>
  <c r="K904" i="1"/>
  <c r="L904" i="1"/>
  <c r="M904" i="1"/>
  <c r="N904" i="1"/>
  <c r="P904" i="1"/>
  <c r="K905" i="1"/>
  <c r="L905" i="1"/>
  <c r="M905" i="1"/>
  <c r="N905" i="1"/>
  <c r="P905" i="1"/>
  <c r="K906" i="1"/>
  <c r="L906" i="1"/>
  <c r="M906" i="1"/>
  <c r="N906" i="1"/>
  <c r="P906" i="1"/>
  <c r="K907" i="1"/>
  <c r="L907" i="1"/>
  <c r="M907" i="1"/>
  <c r="N907" i="1"/>
  <c r="P907" i="1"/>
  <c r="K908" i="1"/>
  <c r="L908" i="1"/>
  <c r="M908" i="1"/>
  <c r="N908" i="1"/>
  <c r="P908" i="1"/>
  <c r="K909" i="1"/>
  <c r="L909" i="1"/>
  <c r="M909" i="1"/>
  <c r="N909" i="1"/>
  <c r="P909" i="1"/>
  <c r="K910" i="1"/>
  <c r="L910" i="1"/>
  <c r="M910" i="1"/>
  <c r="N910" i="1"/>
  <c r="P910" i="1"/>
  <c r="K911" i="1"/>
  <c r="L911" i="1"/>
  <c r="M911" i="1"/>
  <c r="N911" i="1"/>
  <c r="P911" i="1"/>
  <c r="K912" i="1"/>
  <c r="L912" i="1"/>
  <c r="M912" i="1"/>
  <c r="N912" i="1"/>
  <c r="P912" i="1"/>
  <c r="K913" i="1"/>
  <c r="L913" i="1"/>
  <c r="M913" i="1"/>
  <c r="N913" i="1"/>
  <c r="P913" i="1"/>
  <c r="K914" i="1"/>
  <c r="L914" i="1"/>
  <c r="M914" i="1"/>
  <c r="N914" i="1"/>
  <c r="P914" i="1"/>
  <c r="K915" i="1"/>
  <c r="L915" i="1"/>
  <c r="M915" i="1"/>
  <c r="N915" i="1"/>
  <c r="P915" i="1"/>
  <c r="K916" i="1"/>
  <c r="L916" i="1"/>
  <c r="M916" i="1"/>
  <c r="N916" i="1"/>
  <c r="P916" i="1"/>
  <c r="K917" i="1"/>
  <c r="L917" i="1"/>
  <c r="M917" i="1"/>
  <c r="N917" i="1"/>
  <c r="P917" i="1"/>
  <c r="K918" i="1"/>
  <c r="L918" i="1"/>
  <c r="M918" i="1"/>
  <c r="N918" i="1"/>
  <c r="P918" i="1"/>
  <c r="K919" i="1"/>
  <c r="L919" i="1"/>
  <c r="M919" i="1"/>
  <c r="N919" i="1"/>
  <c r="P919" i="1"/>
  <c r="K920" i="1"/>
  <c r="L920" i="1"/>
  <c r="M920" i="1"/>
  <c r="N920" i="1"/>
  <c r="P920" i="1"/>
  <c r="K921" i="1"/>
  <c r="L921" i="1"/>
  <c r="M921" i="1"/>
  <c r="N921" i="1"/>
  <c r="P921" i="1"/>
  <c r="K922" i="1"/>
  <c r="L922" i="1"/>
  <c r="M922" i="1"/>
  <c r="N922" i="1"/>
  <c r="P922" i="1"/>
  <c r="K923" i="1"/>
  <c r="L923" i="1"/>
  <c r="M923" i="1"/>
  <c r="N923" i="1"/>
  <c r="P923" i="1"/>
  <c r="K924" i="1"/>
  <c r="L924" i="1"/>
  <c r="M924" i="1"/>
  <c r="N924" i="1"/>
  <c r="P924" i="1"/>
  <c r="K925" i="1"/>
  <c r="L925" i="1"/>
  <c r="M925" i="1"/>
  <c r="N925" i="1"/>
  <c r="P925" i="1"/>
  <c r="K926" i="1"/>
  <c r="L926" i="1"/>
  <c r="M926" i="1"/>
  <c r="N926" i="1"/>
  <c r="P926" i="1"/>
  <c r="K927" i="1"/>
  <c r="L927" i="1"/>
  <c r="M927" i="1"/>
  <c r="N927" i="1"/>
  <c r="P927" i="1"/>
  <c r="K928" i="1"/>
  <c r="L928" i="1"/>
  <c r="M928" i="1"/>
  <c r="N928" i="1"/>
  <c r="P928" i="1"/>
  <c r="K929" i="1"/>
  <c r="L929" i="1"/>
  <c r="M929" i="1"/>
  <c r="N929" i="1"/>
  <c r="P929" i="1"/>
  <c r="K930" i="1"/>
  <c r="L930" i="1"/>
  <c r="M930" i="1"/>
  <c r="N930" i="1"/>
  <c r="P930" i="1"/>
  <c r="K931" i="1"/>
  <c r="L931" i="1"/>
  <c r="M931" i="1"/>
  <c r="N931" i="1"/>
  <c r="P931" i="1"/>
  <c r="K932" i="1"/>
  <c r="L932" i="1"/>
  <c r="M932" i="1"/>
  <c r="N932" i="1"/>
  <c r="P932" i="1"/>
  <c r="K933" i="1"/>
  <c r="L933" i="1"/>
  <c r="M933" i="1"/>
  <c r="N933" i="1"/>
  <c r="P933" i="1"/>
  <c r="K934" i="1"/>
  <c r="L934" i="1"/>
  <c r="M934" i="1"/>
  <c r="N934" i="1"/>
  <c r="P934" i="1"/>
  <c r="K935" i="1"/>
  <c r="L935" i="1"/>
  <c r="M935" i="1"/>
  <c r="N935" i="1"/>
  <c r="P935" i="1"/>
  <c r="K936" i="1"/>
  <c r="L936" i="1"/>
  <c r="M936" i="1"/>
  <c r="N936" i="1"/>
  <c r="P936" i="1"/>
  <c r="K937" i="1"/>
  <c r="L937" i="1"/>
  <c r="M937" i="1"/>
  <c r="N937" i="1"/>
  <c r="P937" i="1"/>
  <c r="K938" i="1"/>
  <c r="L938" i="1"/>
  <c r="M938" i="1"/>
  <c r="N938" i="1"/>
  <c r="P938" i="1"/>
  <c r="K939" i="1"/>
  <c r="L939" i="1"/>
  <c r="M939" i="1"/>
  <c r="N939" i="1"/>
  <c r="P939" i="1"/>
  <c r="K940" i="1"/>
  <c r="L940" i="1"/>
  <c r="M940" i="1"/>
  <c r="N940" i="1"/>
  <c r="P940" i="1"/>
  <c r="K941" i="1"/>
  <c r="L941" i="1"/>
  <c r="M941" i="1"/>
  <c r="N941" i="1"/>
  <c r="P941" i="1"/>
  <c r="K942" i="1"/>
  <c r="L942" i="1"/>
  <c r="M942" i="1"/>
  <c r="N942" i="1"/>
  <c r="P942" i="1"/>
  <c r="K943" i="1"/>
  <c r="L943" i="1"/>
  <c r="M943" i="1"/>
  <c r="N943" i="1"/>
  <c r="P943" i="1"/>
  <c r="K944" i="1"/>
  <c r="L944" i="1"/>
  <c r="M944" i="1"/>
  <c r="N944" i="1"/>
  <c r="P944" i="1"/>
  <c r="K945" i="1"/>
  <c r="L945" i="1"/>
  <c r="M945" i="1"/>
  <c r="N945" i="1"/>
  <c r="P945" i="1"/>
  <c r="K946" i="1"/>
  <c r="L946" i="1"/>
  <c r="M946" i="1"/>
  <c r="N946" i="1"/>
  <c r="P946" i="1"/>
  <c r="K947" i="1"/>
  <c r="L947" i="1"/>
  <c r="M947" i="1"/>
  <c r="N947" i="1"/>
  <c r="P947" i="1"/>
  <c r="K948" i="1"/>
  <c r="L948" i="1"/>
  <c r="M948" i="1"/>
  <c r="N948" i="1"/>
  <c r="P948" i="1"/>
  <c r="K949" i="1"/>
  <c r="L949" i="1"/>
  <c r="M949" i="1"/>
  <c r="N949" i="1"/>
  <c r="P949" i="1"/>
  <c r="K950" i="1"/>
  <c r="L950" i="1"/>
  <c r="M950" i="1"/>
  <c r="N950" i="1"/>
  <c r="P950" i="1"/>
  <c r="K951" i="1"/>
  <c r="L951" i="1"/>
  <c r="M951" i="1"/>
  <c r="N951" i="1"/>
  <c r="P951" i="1"/>
  <c r="K952" i="1"/>
  <c r="L952" i="1"/>
  <c r="M952" i="1"/>
  <c r="N952" i="1"/>
  <c r="P952" i="1"/>
  <c r="K953" i="1"/>
  <c r="L953" i="1"/>
  <c r="M953" i="1"/>
  <c r="N953" i="1"/>
  <c r="P953" i="1"/>
  <c r="K954" i="1"/>
  <c r="L954" i="1"/>
  <c r="M954" i="1"/>
  <c r="N954" i="1"/>
  <c r="P954" i="1"/>
  <c r="K955" i="1"/>
  <c r="L955" i="1"/>
  <c r="M955" i="1"/>
  <c r="N955" i="1"/>
  <c r="P955" i="1"/>
  <c r="K956" i="1"/>
  <c r="L956" i="1"/>
  <c r="M956" i="1"/>
  <c r="N956" i="1"/>
  <c r="P956" i="1"/>
  <c r="K957" i="1"/>
  <c r="L957" i="1"/>
  <c r="M957" i="1"/>
  <c r="N957" i="1"/>
  <c r="P957" i="1"/>
  <c r="K958" i="1"/>
  <c r="L958" i="1"/>
  <c r="M958" i="1"/>
  <c r="N958" i="1"/>
  <c r="P958" i="1"/>
  <c r="K959" i="1"/>
  <c r="L959" i="1"/>
  <c r="M959" i="1"/>
  <c r="N959" i="1"/>
  <c r="P959" i="1"/>
  <c r="K960" i="1"/>
  <c r="L960" i="1"/>
  <c r="M960" i="1"/>
  <c r="N960" i="1"/>
  <c r="P960" i="1"/>
  <c r="K961" i="1"/>
  <c r="L961" i="1"/>
  <c r="M961" i="1"/>
  <c r="N961" i="1"/>
  <c r="P961" i="1"/>
  <c r="K962" i="1"/>
  <c r="L962" i="1"/>
  <c r="M962" i="1"/>
  <c r="N962" i="1"/>
  <c r="P962" i="1"/>
  <c r="K963" i="1"/>
  <c r="L963" i="1"/>
  <c r="M963" i="1"/>
  <c r="N963" i="1"/>
  <c r="P963" i="1"/>
  <c r="K964" i="1"/>
  <c r="L964" i="1"/>
  <c r="M964" i="1"/>
  <c r="N964" i="1"/>
  <c r="P964" i="1"/>
  <c r="K965" i="1"/>
  <c r="L965" i="1"/>
  <c r="M965" i="1"/>
  <c r="N965" i="1"/>
  <c r="P965" i="1"/>
  <c r="K966" i="1"/>
  <c r="L966" i="1"/>
  <c r="M966" i="1"/>
  <c r="N966" i="1"/>
  <c r="P966" i="1"/>
  <c r="K967" i="1"/>
  <c r="L967" i="1"/>
  <c r="M967" i="1"/>
  <c r="N967" i="1"/>
  <c r="P967" i="1"/>
  <c r="K968" i="1"/>
  <c r="L968" i="1"/>
  <c r="M968" i="1"/>
  <c r="N968" i="1"/>
  <c r="P968" i="1"/>
  <c r="K969" i="1"/>
  <c r="L969" i="1"/>
  <c r="M969" i="1"/>
  <c r="N969" i="1"/>
  <c r="P969" i="1"/>
  <c r="K970" i="1"/>
  <c r="L970" i="1"/>
  <c r="M970" i="1"/>
  <c r="N970" i="1"/>
  <c r="P970" i="1"/>
  <c r="K971" i="1"/>
  <c r="L971" i="1"/>
  <c r="M971" i="1"/>
  <c r="N971" i="1"/>
  <c r="P971" i="1"/>
  <c r="K972" i="1"/>
  <c r="L972" i="1"/>
  <c r="M972" i="1"/>
  <c r="N972" i="1"/>
  <c r="P972" i="1"/>
  <c r="K973" i="1"/>
  <c r="L973" i="1"/>
  <c r="M973" i="1"/>
  <c r="N973" i="1"/>
  <c r="P973" i="1"/>
  <c r="K974" i="1"/>
  <c r="L974" i="1"/>
  <c r="M974" i="1"/>
  <c r="N974" i="1"/>
  <c r="P974" i="1"/>
  <c r="K975" i="1"/>
  <c r="L975" i="1"/>
  <c r="M975" i="1"/>
  <c r="N975" i="1"/>
  <c r="P975" i="1"/>
  <c r="K976" i="1"/>
  <c r="L976" i="1"/>
  <c r="M976" i="1"/>
  <c r="N976" i="1"/>
  <c r="P976" i="1"/>
  <c r="K977" i="1"/>
  <c r="L977" i="1"/>
  <c r="M977" i="1"/>
  <c r="N977" i="1"/>
  <c r="P977" i="1"/>
  <c r="K978" i="1"/>
  <c r="L978" i="1"/>
  <c r="M978" i="1"/>
  <c r="N978" i="1"/>
  <c r="P978" i="1"/>
  <c r="K979" i="1"/>
  <c r="L979" i="1"/>
  <c r="M979" i="1"/>
  <c r="N979" i="1"/>
  <c r="P979" i="1"/>
  <c r="K980" i="1"/>
  <c r="L980" i="1"/>
  <c r="M980" i="1"/>
  <c r="N980" i="1"/>
  <c r="P980" i="1"/>
  <c r="K981" i="1"/>
  <c r="L981" i="1"/>
  <c r="M981" i="1"/>
  <c r="N981" i="1"/>
  <c r="P981" i="1"/>
  <c r="K982" i="1"/>
  <c r="L982" i="1"/>
  <c r="M982" i="1"/>
  <c r="N982" i="1"/>
  <c r="P982" i="1"/>
  <c r="K983" i="1"/>
  <c r="L983" i="1"/>
  <c r="M983" i="1"/>
  <c r="N983" i="1"/>
  <c r="P983" i="1"/>
  <c r="K984" i="1"/>
  <c r="L984" i="1"/>
  <c r="M984" i="1"/>
  <c r="N984" i="1"/>
  <c r="P984" i="1"/>
  <c r="K985" i="1"/>
  <c r="L985" i="1"/>
  <c r="M985" i="1"/>
  <c r="N985" i="1"/>
  <c r="P985" i="1"/>
  <c r="K986" i="1"/>
  <c r="L986" i="1"/>
  <c r="M986" i="1"/>
  <c r="N986" i="1"/>
  <c r="P986" i="1"/>
  <c r="K987" i="1"/>
  <c r="L987" i="1"/>
  <c r="M987" i="1"/>
  <c r="N987" i="1"/>
  <c r="P987" i="1"/>
  <c r="K988" i="1"/>
  <c r="L988" i="1"/>
  <c r="M988" i="1"/>
  <c r="N988" i="1"/>
  <c r="P988" i="1"/>
  <c r="K989" i="1"/>
  <c r="L989" i="1"/>
  <c r="M989" i="1"/>
  <c r="N989" i="1"/>
  <c r="P989" i="1"/>
  <c r="K990" i="1"/>
  <c r="L990" i="1"/>
  <c r="M990" i="1"/>
  <c r="N990" i="1"/>
  <c r="P990" i="1"/>
  <c r="K991" i="1"/>
  <c r="L991" i="1"/>
  <c r="M991" i="1"/>
  <c r="N991" i="1"/>
  <c r="P991" i="1"/>
  <c r="K992" i="1"/>
  <c r="L992" i="1"/>
  <c r="M992" i="1"/>
  <c r="N992" i="1"/>
  <c r="P992" i="1"/>
  <c r="K993" i="1"/>
  <c r="L993" i="1"/>
  <c r="M993" i="1"/>
  <c r="N993" i="1"/>
  <c r="P993" i="1"/>
  <c r="K994" i="1"/>
  <c r="L994" i="1"/>
  <c r="M994" i="1"/>
  <c r="N994" i="1"/>
  <c r="P994" i="1"/>
  <c r="K995" i="1"/>
  <c r="L995" i="1"/>
  <c r="M995" i="1"/>
  <c r="N995" i="1"/>
  <c r="P995" i="1"/>
  <c r="K996" i="1"/>
  <c r="L996" i="1"/>
  <c r="M996" i="1"/>
  <c r="N996" i="1"/>
  <c r="P996" i="1"/>
  <c r="K997" i="1"/>
  <c r="L997" i="1"/>
  <c r="M997" i="1"/>
  <c r="N997" i="1"/>
  <c r="P997" i="1"/>
  <c r="K998" i="1"/>
  <c r="L998" i="1"/>
  <c r="M998" i="1"/>
  <c r="N998" i="1"/>
  <c r="P998" i="1"/>
  <c r="K999" i="1"/>
  <c r="L999" i="1"/>
  <c r="M999" i="1"/>
  <c r="N999" i="1"/>
  <c r="P999" i="1"/>
  <c r="K1000" i="1"/>
  <c r="L1000" i="1"/>
  <c r="M1000" i="1"/>
  <c r="N1000" i="1"/>
  <c r="P1000" i="1"/>
  <c r="K1001" i="1"/>
  <c r="L1001" i="1"/>
  <c r="M1001" i="1"/>
  <c r="N1001" i="1"/>
  <c r="P1001" i="1"/>
  <c r="H9" i="5" l="1"/>
  <c r="D13" i="5"/>
  <c r="F12" i="5"/>
  <c r="D12" i="5"/>
  <c r="F10" i="5"/>
  <c r="I17" i="5"/>
  <c r="G13" i="5"/>
  <c r="I12" i="5"/>
  <c r="E11" i="5"/>
  <c r="G12" i="5"/>
  <c r="D10" i="5"/>
  <c r="D9" i="5"/>
  <c r="E10" i="5"/>
  <c r="G11" i="5"/>
  <c r="F9" i="5"/>
  <c r="E9" i="5"/>
  <c r="G10" i="5"/>
  <c r="H17" i="5"/>
  <c r="I11" i="5"/>
  <c r="H16" i="5"/>
  <c r="I10" i="5"/>
  <c r="E17" i="5"/>
  <c r="F11" i="5"/>
  <c r="H15" i="5"/>
  <c r="J18" i="5"/>
  <c r="G17" i="5"/>
  <c r="E16" i="5"/>
  <c r="A7" i="3" a="1"/>
  <c r="A7" i="3" s="1"/>
  <c r="I18"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<sst xmlns="http://schemas.openxmlformats.org/spreadsheetml/2006/main" count="7128" uniqueCount="1087">
  <si>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</si>
  <si>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</si>
  <si>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</si>
  <si>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</si>
  <si>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</si>
  <si>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</si>
  <si>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</si>
  <si>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</si>
  <si>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</si>
  <si>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</si>
  <si>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</si>
  <si>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</si>
  <si>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</si>
  <si>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</si>
  <si>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</si>
  <si>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</si>
  <si>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</si>
  <si>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</si>
  <si>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</si>
  <si>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</si>
  <si>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</si>
  <si>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</si>
  <si>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</si>
  <si>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</si>
  <si>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</si>
  <si>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</si>
  <si>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</si>
  <si>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</si>
  <si>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</si>
  <si>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</si>
  <si>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</si>
  <si>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</si>
  <si>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</si>
  <si>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</si>
  <si>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</si>
  <si>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</si>
  <si>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</si>
  <si>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</si>
  <si>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</si>
  <si>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</si>
  <si>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</si>
  <si>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</si>
  <si>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</si>
  <si>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</si>
  <si>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</si>
  <si>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</si>
  <si>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</si>
  <si>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</si>
  <si>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</si>
  <si>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</si>
  <si>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</si>
  <si>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</si>
  <si>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</si>
  <si>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</si>
  <si>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</si>
  <si>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</si>
  <si>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</si>
  <si>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</si>
  <si>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</si>
  <si>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</si>
  <si>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</si>
  <si>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</si>
  <si>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</si>
  <si>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</si>
  <si>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</si>
  <si>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</si>
  <si>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</si>
  <si>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</si>
  <si>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</si>
  <si>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</si>
  <si>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</si>
  <si>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</si>
  <si>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</si>
  <si>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</si>
  <si>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</si>
  <si>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</si>
  <si>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</si>
  <si>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</si>
  <si>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</si>
  <si>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</si>
  <si>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</si>
  <si>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</si>
  <si>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</si>
  <si>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</si>
  <si>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</si>
  <si>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</si>
  <si>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</si>
  <si>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</si>
  <si>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</si>
  <si>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</si>
  <si>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</si>
  <si>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</si>
  <si>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</si>
  <si>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</si>
  <si>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</si>
  <si>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</si>
  <si>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</si>
  <si>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</si>
  <si>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</si>
  <si>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</si>
  <si>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</si>
  <si>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</si>
  <si>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</si>
  <si>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</si>
  <si>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</si>
  <si>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</si>
  <si>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</si>
  <si>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</si>
  <si>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</si>
  <si>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</si>
  <si>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</si>
  <si>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</si>
  <si>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</si>
  <si>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</si>
  <si>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</si>
  <si>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</si>
  <si>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</si>
  <si>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</si>
  <si>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</si>
  <si>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</si>
  <si>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</si>
  <si>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</si>
  <si>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</si>
  <si>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</si>
  <si>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</si>
  <si>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</si>
  <si>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</si>
  <si>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</si>
  <si>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</si>
  <si>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</si>
  <si>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</si>
  <si>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</si>
  <si>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</si>
  <si>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</si>
  <si>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</si>
  <si>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</si>
  <si>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</si>
  <si>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</si>
  <si>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</si>
  <si>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</si>
  <si>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</si>
  <si>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</si>
  <si>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</si>
  <si>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</si>
  <si>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</si>
  <si>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</si>
  <si>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</si>
  <si>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</si>
  <si>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</si>
  <si>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</si>
  <si>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</si>
  <si>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</si>
  <si>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</si>
  <si>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</si>
  <si>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</si>
  <si>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</si>
  <si>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</si>
  <si>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</si>
  <si>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</si>
  <si>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</si>
  <si>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</si>
  <si>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</si>
  <si>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</si>
  <si>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</si>
  <si>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</si>
  <si>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</si>
  <si>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</si>
  <si>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</si>
  <si>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</si>
  <si>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</si>
  <si>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</si>
  <si>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</si>
  <si>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</si>
  <si>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</si>
  <si>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</si>
  <si>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</si>
  <si>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</si>
  <si>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</si>
  <si>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</si>
  <si>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</si>
  <si>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</si>
  <si>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</si>
  <si>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</si>
  <si>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</si>
  <si>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</si>
  <si>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</si>
  <si>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</si>
  <si>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</si>
  <si>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</si>
  <si>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</si>
  <si>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</si>
  <si>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</si>
  <si>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</si>
  <si>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</si>
  <si>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</si>
  <si>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</si>
  <si>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</si>
  <si>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</si>
  <si>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</si>
  <si>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</si>
  <si>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</si>
  <si>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</si>
  <si>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</si>
  <si>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</si>
  <si>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</si>
  <si>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</si>
  <si>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</si>
  <si>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</si>
  <si>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</si>
  <si>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</si>
  <si>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</si>
  <si>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</si>
  <si>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</si>
  <si>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</si>
  <si>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</si>
  <si>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</si>
  <si>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</si>
  <si>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</si>
  <si>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</si>
  <si>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</si>
  <si>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</si>
  <si>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</si>
  <si>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</si>
  <si>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</si>
  <si>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</si>
  <si>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</si>
  <si>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</si>
  <si>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</si>
  <si>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</si>
  <si>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</si>
  <si>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</si>
  <si>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</si>
  <si>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</si>
  <si>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</si>
  <si>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</si>
  <si>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</si>
  <si>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</si>
  <si>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</si>
  <si>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</si>
  <si>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</si>
  <si>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</si>
  <si>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</si>
  <si>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</si>
  <si>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</si>
  <si>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</si>
  <si>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</si>
  <si>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</si>
  <si>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</si>
  <si>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</si>
  <si>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</si>
  <si>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</si>
  <si>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</si>
  <si>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</si>
  <si>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</si>
  <si>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</si>
  <si>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</si>
  <si>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</si>
  <si>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</si>
  <si>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</si>
  <si>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</si>
  <si>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</si>
  <si>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</si>
  <si>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</si>
  <si>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</si>
  <si>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</si>
  <si>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</si>
  <si>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</si>
  <si>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</si>
  <si>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</si>
  <si>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</si>
  <si>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</si>
  <si>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</si>
  <si>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</si>
  <si>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</si>
  <si>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</si>
  <si>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</si>
  <si>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</si>
  <si>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</si>
  <si>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</si>
  <si>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</si>
  <si>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</si>
  <si>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</si>
  <si>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</si>
  <si>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</si>
  <si>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</si>
  <si>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</si>
  <si>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</si>
  <si>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</si>
  <si>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</si>
  <si>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</si>
  <si>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</si>
  <si>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</si>
  <si>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</si>
  <si>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</si>
  <si>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</si>
  <si>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</si>
  <si>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</si>
  <si>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</si>
  <si>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</si>
  <si>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</si>
  <si>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</si>
  <si>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</si>
  <si>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</si>
  <si>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</si>
  <si>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</si>
  <si>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</si>
  <si>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</si>
  <si>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</si>
  <si>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</si>
  <si>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</si>
  <si>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</si>
  <si>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</si>
  <si>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</si>
  <si>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</si>
  <si>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</si>
  <si>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</si>
  <si>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</si>
  <si>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</si>
  <si>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</si>
  <si>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</si>
  <si>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</si>
  <si>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</si>
  <si>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</si>
  <si>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</si>
  <si>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</si>
  <si>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</si>
  <si>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</si>
  <si>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</si>
  <si>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</si>
  <si>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</si>
  <si>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</si>
  <si>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</si>
  <si>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</si>
  <si>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</si>
  <si>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</si>
  <si>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</si>
  <si>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</si>
  <si>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</si>
  <si>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</si>
  <si>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</si>
  <si>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</si>
  <si>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</si>
  <si>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</si>
  <si>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</si>
  <si>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</si>
  <si>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</si>
  <si>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</si>
  <si>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</si>
  <si>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</si>
  <si>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</si>
  <si>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</si>
  <si>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</si>
  <si>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</si>
  <si>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</si>
  <si>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</si>
  <si>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</si>
  <si>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</si>
  <si>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</si>
  <si>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</si>
  <si>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</si>
  <si>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</si>
  <si>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</si>
  <si>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</si>
  <si>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</si>
  <si>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</si>
  <si>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</si>
  <si>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</si>
  <si>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</si>
  <si>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</si>
  <si>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</si>
  <si>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</si>
  <si>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</si>
  <si>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</si>
  <si>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</si>
  <si>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</si>
  <si>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</si>
  <si>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</si>
  <si>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</si>
  <si>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</si>
  <si>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</si>
  <si>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</si>
  <si>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</si>
  <si>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</si>
  <si>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</si>
  <si>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</si>
  <si>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</si>
  <si>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</si>
  <si>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</si>
  <si>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</si>
  <si>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</si>
  <si>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</si>
  <si>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</si>
  <si>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</si>
  <si>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</si>
  <si>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</si>
  <si>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</si>
  <si>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</si>
  <si>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</si>
  <si>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</si>
  <si>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</si>
  <si>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</si>
  <si>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</si>
  <si>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</si>
  <si>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</si>
  <si>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</si>
  <si>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</si>
  <si>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</si>
  <si>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</si>
  <si>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</si>
  <si>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</si>
  <si>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</si>
  <si>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</si>
  <si>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</si>
  <si>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</si>
  <si>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</si>
  <si>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</si>
  <si>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</si>
  <si>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</si>
  <si>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</si>
  <si>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</si>
  <si>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</si>
  <si>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</si>
  <si>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</si>
  <si>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</si>
  <si>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</si>
  <si>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</si>
  <si>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</si>
  <si>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</si>
  <si>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</si>
  <si>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</si>
  <si>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</si>
  <si>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</si>
  <si>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</si>
  <si>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</si>
  <si>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</si>
  <si>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</si>
  <si>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</si>
  <si>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</si>
  <si>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</si>
  <si>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</si>
  <si>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</si>
  <si>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</si>
  <si>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</si>
  <si>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</si>
  <si>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</si>
  <si>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</si>
  <si>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</si>
  <si>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</si>
  <si>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</si>
  <si>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</si>
  <si>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</si>
  <si>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</si>
  <si>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</si>
  <si>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</si>
  <si>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</si>
  <si>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</si>
  <si>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</si>
  <si>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</si>
  <si>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</si>
  <si>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</si>
  <si>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</si>
  <si>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</si>
  <si>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</si>
  <si>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</si>
  <si>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</si>
  <si>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</si>
  <si>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</si>
  <si>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</si>
  <si>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</si>
  <si>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</si>
  <si>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</si>
  <si>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</si>
  <si>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</si>
  <si>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</si>
  <si>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</si>
  <si>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</si>
  <si>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</si>
  <si>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</si>
  <si>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</si>
  <si>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</si>
  <si>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</si>
  <si>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</si>
  <si>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</si>
  <si>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</si>
  <si>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</si>
  <si>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</si>
  <si>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</si>
  <si>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</si>
  <si>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</si>
  <si>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</si>
  <si>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</si>
  <si>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</si>
  <si>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</si>
  <si>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</si>
  <si>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</si>
  <si>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</si>
  <si>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</si>
  <si>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</si>
  <si>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</si>
  <si>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</si>
  <si>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</si>
  <si>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</si>
  <si>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</si>
  <si>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</si>
  <si>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</si>
  <si>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</si>
  <si>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</si>
  <si>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</si>
  <si>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</si>
  <si>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</si>
  <si>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</si>
  <si>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</si>
  <si>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</si>
  <si>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</si>
  <si>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</si>
  <si>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</si>
  <si>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</si>
  <si>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</si>
  <si>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</si>
  <si>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</si>
  <si>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</si>
  <si>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</si>
  <si>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</si>
  <si>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</si>
  <si>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</si>
  <si>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</si>
  <si>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</si>
  <si>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</si>
  <si>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</si>
  <si>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</si>
  <si>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</si>
  <si>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</si>
  <si>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</si>
  <si>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</si>
  <si>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</si>
  <si>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</si>
  <si>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</si>
  <si>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</si>
  <si>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</si>
  <si>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</si>
  <si>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</si>
  <si>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</si>
  <si>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</si>
  <si>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</si>
  <si>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</si>
  <si>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</si>
  <si>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</si>
  <si>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</si>
  <si>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</si>
  <si>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</si>
  <si>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</si>
  <si>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</si>
  <si>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</si>
  <si>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</si>
  <si>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</si>
  <si>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</si>
  <si>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</si>
  <si>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</si>
  <si>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</si>
  <si>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</si>
  <si>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</si>
  <si>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</si>
  <si>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</si>
  <si>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</si>
  <si>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</si>
  <si>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</si>
  <si>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</si>
  <si>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</si>
  <si>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</si>
  <si>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</si>
  <si>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</si>
  <si>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</si>
  <si>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</si>
  <si>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</si>
  <si>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</si>
  <si>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</si>
  <si>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</si>
  <si>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</si>
  <si>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</si>
  <si>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</si>
  <si>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</si>
  <si>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</si>
  <si>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</si>
  <si>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</si>
  <si>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</si>
  <si>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</si>
  <si>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</si>
  <si>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</si>
  <si>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</si>
  <si>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</si>
  <si>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</si>
  <si>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</si>
  <si>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</si>
  <si>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</si>
  <si>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</si>
  <si>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</si>
  <si>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</si>
  <si>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</si>
  <si>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</si>
  <si>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</si>
  <si>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</si>
  <si>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</si>
  <si>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</si>
  <si>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</si>
  <si>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</si>
  <si>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</si>
  <si>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</si>
  <si>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</si>
  <si>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</si>
  <si>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</si>
  <si>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</si>
  <si>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</si>
  <si>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</si>
  <si>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</si>
  <si>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</si>
  <si>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</si>
  <si>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</si>
  <si>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</si>
  <si>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</si>
  <si>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</si>
  <si>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</si>
  <si>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</si>
  <si>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</si>
  <si>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</si>
  <si>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</si>
  <si>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</si>
  <si>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</si>
  <si>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</si>
  <si>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</si>
  <si>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</si>
  <si>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</si>
  <si>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</si>
  <si>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</si>
  <si>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</si>
  <si>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</si>
  <si>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</si>
  <si>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</si>
  <si>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</si>
  <si>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</si>
  <si>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</si>
  <si>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</si>
  <si>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</si>
  <si>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</si>
  <si>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</si>
  <si>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</si>
  <si>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</si>
  <si>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</si>
  <si>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</si>
  <si>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</si>
  <si>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</si>
  <si>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</si>
  <si>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</si>
  <si>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</si>
  <si>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</si>
  <si>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</si>
  <si>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</si>
  <si>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</si>
  <si>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</si>
  <si>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</si>
  <si>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</si>
  <si>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</si>
  <si>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</si>
  <si>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</si>
  <si>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</si>
  <si>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</si>
  <si>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</si>
  <si>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</si>
  <si>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</si>
  <si>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</si>
  <si>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</si>
  <si>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</si>
  <si>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</si>
  <si>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</si>
  <si>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</si>
  <si>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</si>
  <si>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</si>
  <si>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</si>
  <si>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</si>
  <si>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</si>
  <si>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</si>
  <si>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</si>
  <si>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</si>
  <si>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</si>
  <si>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</si>
  <si>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</si>
  <si>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</si>
  <si>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</si>
  <si>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</si>
  <si>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</si>
  <si>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</si>
  <si>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</si>
  <si>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</si>
  <si>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</si>
  <si>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</si>
  <si>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</si>
  <si>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</si>
  <si>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</si>
  <si>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</si>
  <si>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</si>
  <si>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</si>
  <si>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</si>
  <si>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</si>
  <si>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</si>
  <si>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</si>
  <si>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</si>
  <si>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</si>
  <si>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</si>
  <si>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</si>
  <si>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</si>
  <si>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</si>
  <si>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</si>
  <si>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</si>
  <si>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</si>
  <si>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</si>
  <si>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</si>
  <si>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</si>
  <si>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</si>
  <si>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</si>
  <si>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</si>
  <si>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</si>
  <si>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</si>
  <si>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</si>
  <si>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</si>
  <si>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</si>
  <si>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</si>
  <si>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</si>
  <si>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</si>
  <si>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</si>
  <si>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</si>
  <si>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</si>
  <si>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</si>
  <si>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</si>
  <si>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</si>
  <si>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</si>
  <si>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</si>
  <si>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</si>
  <si>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</si>
  <si>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</si>
  <si>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</si>
  <si>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</si>
  <si>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</si>
  <si>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</si>
  <si>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</si>
  <si>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</si>
  <si>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</si>
  <si>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</si>
  <si>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</si>
  <si>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</si>
  <si>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</si>
  <si>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</si>
  <si>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</si>
  <si>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</si>
  <si>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</si>
  <si>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</si>
  <si>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</si>
  <si>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</si>
  <si>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</si>
  <si>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</si>
  <si>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</si>
  <si>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</si>
  <si>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</si>
  <si>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</si>
  <si>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</si>
  <si>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</si>
  <si>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</si>
  <si>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</si>
  <si>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</si>
  <si>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</si>
  <si>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</si>
  <si>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</si>
  <si>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</si>
  <si>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</si>
  <si>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</si>
  <si>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</si>
  <si>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</si>
  <si>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</si>
  <si>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</si>
  <si>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</si>
  <si>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</si>
  <si>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</si>
  <si>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</si>
  <si>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</si>
  <si>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</si>
  <si>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</si>
  <si>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</si>
  <si>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</si>
  <si>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</si>
  <si>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</si>
  <si>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</si>
  <si>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</si>
  <si>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</si>
  <si>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</si>
  <si>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</si>
  <si>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</si>
  <si>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</si>
  <si>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</si>
  <si>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</si>
  <si>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</si>
  <si>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</si>
  <si>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</si>
  <si>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</si>
  <si>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</si>
  <si>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</si>
  <si>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</si>
  <si>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</si>
  <si>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</si>
  <si>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</si>
  <si>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</si>
  <si>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</si>
  <si>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</si>
  <si>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</si>
  <si>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</si>
  <si>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</si>
  <si>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</si>
  <si>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</si>
  <si>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</si>
  <si>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</si>
  <si>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</si>
  <si>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</si>
  <si>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</si>
  <si>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</si>
  <si>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</si>
  <si>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</si>
  <si>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</si>
  <si>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</si>
  <si>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</si>
  <si>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</si>
  <si>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</si>
  <si>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</si>
  <si>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</si>
  <si>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</si>
  <si>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</si>
  <si>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</si>
  <si>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</si>
  <si>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</si>
  <si>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</si>
  <si>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</si>
  <si>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</si>
  <si>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</si>
  <si>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</si>
  <si>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</si>
  <si>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</si>
  <si>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</si>
  <si>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</si>
  <si>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</si>
  <si>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</si>
  <si>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</si>
  <si>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</si>
  <si>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</si>
  <si>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</si>
  <si>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</si>
  <si>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</si>
  <si>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</si>
  <si>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</si>
  <si>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</si>
  <si>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</si>
  <si>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</si>
  <si>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</si>
  <si>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</si>
  <si>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</si>
  <si>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</si>
  <si>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</si>
  <si>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</si>
  <si>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</si>
  <si>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</si>
  <si>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</si>
  <si>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</si>
  <si>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</si>
  <si>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</si>
  <si>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</si>
  <si>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</si>
  <si>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</si>
  <si>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</si>
  <si>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</si>
  <si>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</si>
  <si>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</si>
  <si>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</si>
  <si>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</si>
  <si>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</si>
  <si>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</si>
  <si>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</si>
  <si>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</si>
  <si>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</si>
  <si>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</si>
  <si>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</si>
  <si>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</si>
  <si>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</si>
  <si>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</si>
  <si>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</si>
  <si>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</si>
  <si>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</si>
  <si>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</si>
  <si>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</si>
  <si>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</si>
  <si>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</si>
  <si>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</si>
  <si>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</si>
  <si>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</si>
  <si>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</si>
  <si>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</si>
  <si>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</si>
  <si>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</si>
  <si>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</si>
  <si>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</si>
  <si>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</si>
  <si>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</si>
  <si>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</si>
  <si>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</si>
  <si>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</si>
  <si>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</si>
  <si>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</si>
  <si>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</si>
  <si>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</si>
  <si>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</si>
  <si>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</si>
  <si>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</si>
  <si>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</si>
  <si>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</si>
  <si>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</si>
  <si>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</si>
  <si>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</si>
  <si>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</si>
  <si>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</si>
  <si>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</si>
  <si>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</si>
  <si>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</si>
  <si>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</si>
  <si>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</si>
  <si>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</si>
  <si>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</si>
  <si>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</si>
  <si>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</si>
  <si>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</si>
  <si>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</si>
  <si>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</si>
  <si>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</si>
  <si>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</si>
  <si>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</si>
  <si>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</si>
  <si>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</si>
  <si>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</si>
  <si>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</si>
  <si>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</si>
  <si>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</si>
  <si>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</si>
  <si>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</si>
  <si>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</si>
  <si>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</si>
  <si>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</si>
  <si>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</si>
  <si>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</si>
  <si>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</si>
  <si>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</si>
  <si>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</si>
  <si>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</si>
  <si>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</si>
  <si>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</si>
  <si>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</si>
  <si>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</si>
  <si>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</si>
  <si>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</si>
  <si>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</si>
  <si>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</si>
  <si>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</si>
  <si>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</si>
  <si>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</si>
  <si>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</si>
  <si>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</si>
  <si>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</si>
  <si>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</si>
  <si>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</si>
  <si>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</si>
  <si>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</si>
  <si>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</si>
  <si>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</si>
  <si>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</si>
  <si>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</si>
  <si>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</si>
  <si>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</si>
  <si>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</si>
  <si>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</si>
  <si>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</si>
  <si>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</si>
  <si>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</si>
  <si>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</si>
  <si>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</si>
  <si>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</si>
  <si>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</si>
  <si>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</si>
  <si>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</si>
  <si>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</si>
  <si>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</si>
  <si>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</si>
  <si>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</si>
  <si>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</si>
  <si>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</si>
  <si>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</si>
  <si>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</si>
  <si>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</si>
  <si>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</si>
  <si>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</si>
  <si>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</si>
  <si>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</si>
  <si>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</si>
  <si>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</si>
  <si>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</si>
  <si>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</si>
  <si>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</si>
  <si>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</si>
  <si>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</si>
  <si>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</si>
  <si>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</si>
  <si>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</si>
  <si>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</si>
  <si>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</si>
  <si>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</si>
  <si>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</si>
  <si>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</si>
  <si>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</si>
  <si>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</si>
  <si>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</si>
  <si>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</si>
  <si>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</si>
  <si>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</si>
  <si>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</si>
  <si>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</si>
  <si>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</si>
  <si>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</si>
  <si>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</si>
  <si>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</si>
  <si>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</si>
  <si>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</si>
  <si>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</si>
  <si>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</si>
  <si>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</si>
  <si>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</si>
  <si>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</si>
  <si>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</si>
  <si>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Month</t>
  </si>
  <si>
    <t>High Value Sale</t>
  </si>
  <si>
    <t>Performance Category</t>
  </si>
  <si>
    <t>Growth</t>
  </si>
  <si>
    <t>Filter By Shoe Type</t>
  </si>
  <si>
    <t>Discount</t>
  </si>
  <si>
    <t>Adjust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</si>
  <si>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</si>
  <si>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</si>
  <si>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</si>
  <si>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</si>
  <si>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</si>
  <si>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</si>
  <si>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</si>
  <si>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</si>
  <si>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</si>
  <si>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</si>
  <si>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</si>
  <si>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</si>
  <si>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</si>
  <si>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</si>
  <si>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</si>
  <si>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</si>
  <si>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</si>
  <si>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</si>
  <si>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</si>
  <si>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</si>
  <si>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</si>
  <si>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</si>
  <si>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</si>
  <si>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</si>
  <si>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</si>
  <si>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Grand Total</t>
  </si>
  <si>
    <t>Row Labels</t>
  </si>
  <si>
    <t>Sum of Revenue_USD</t>
  </si>
  <si>
    <t>Jan</t>
  </si>
  <si>
    <t>Feb</t>
  </si>
  <si>
    <t>Mar</t>
  </si>
  <si>
    <t>Apr</t>
  </si>
  <si>
    <t>May</t>
  </si>
  <si>
    <t>Jun</t>
  </si>
  <si>
    <t>Jul</t>
  </si>
  <si>
    <t>Aug</t>
  </si>
  <si>
    <t>Sep</t>
  </si>
  <si>
    <t>Oct</t>
  </si>
  <si>
    <t>Nov</t>
  </si>
  <si>
    <t>Dec</t>
  </si>
  <si>
    <t>Sum of Price_USD</t>
  </si>
  <si>
    <t>Sum of Adjust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</si>
</sst>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5" x14ac:knownFonts="1">
    <font>
      <sz val="10"/>
      <name val="Arial"/>
      <family val="2"/>
    </font>
    <font>
      <b/>
      <sz val="10"/>
      <color theme="0"/>
      <name val="Arial"/>
      <family val="2"/>
    </font>
    <font>
      <sz val="8"/>
      <name val="Arial"/>
      <family val="2"/>
    </font>
    <font>
      <b/>
      <sz val="10"/>
      <name val="Arial"/>
      <family val="2"/>
    </font>
    <font>
      <i/>
      <sz val="10"/>
      <name val="Arial"/>
      <family val="2"/>
    </font>
  </fonts>
  <fills count="5">
    <fill>
      <patternFill patternType="none"/>
    </fill>
    <fill>
      <patternFill patternType="gray125"/>
    </fill>
    <fill>
      <patternFill patternType="solid">
        <fgColor theme="5"/>
        <bgColor theme="5"/>
      </patternFill>
    </fill>
    <fill>
      <patternFill patternType="solid">
        <fgColor theme="5" tint="0.79998168889431442"/>
        <bgColor indexed="64"/>
      </patternFill>
    </fill>
    <fill>
      <patternFill patternType="solid">
        <fgColor theme="2"/>
        <bgColor indexed="64"/>
      </patternFill>
    </fill>
  </fills>
  <borders count="5">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164" fontId="0" fillId="0" borderId="0" xfId="0" applyNumberFormat="1"/>
    <xf numFmtId="0" fontId="1" fillId="2" borderId="1" xfId="0" applyFont="1" applyFill="1" applyBorder="1"/>
    <xf numFmtId="0" fontId="1" fillId="2" borderId="2" xfId="0" applyFont="1" applyFill="1" applyBorder="1"/>
    <xf numFmtId="0" fontId="3" fillId="0" borderId="0" xfId="0" applyFont="1"/>
    <xf numFmtId="14" fontId="0" fillId="0" borderId="0" xfId="0" applyNumberFormat="1"/>
    <xf numFmtId="9" fontId="0" fillId="0" borderId="0" xfId="0" applyNumberFormat="1"/>
    <xf numFmtId="0" fontId="0" fillId="0" borderId="3" xfId="0" applyBorder="1"/>
    <xf numFmtId="0" fontId="4" fillId="0" borderId="4" xfId="0" applyFont="1" applyBorder="1" applyAlignment="1">
      <alignment horizontal="center"/>
    </xf>
    <xf numFmtId="0" fontId="4" fillId="0" borderId="4" xfId="0" applyFont="1" applyBorder="1" applyAlignment="1">
      <alignment horizontal="centerContinuous"/>
    </xf>
    <xf numFmtId="0" fontId="0" fillId="3" borderId="0" xfId="0" applyFill="1"/>
    <xf numFmtId="0" fontId="0" fillId="0" borderId="0" xfId="0" pivotButton="1"/>
    <xf numFmtId="0" fontId="0" fillId="0" borderId="0" xfId="0" applyAlignment="1">
      <alignment horizontal="left"/>
    </xf>
    <xf numFmtId="0" fontId="0" fillId="4" borderId="0" xfId="0"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font>
        <b val="0"/>
        <i val="0"/>
        <color theme="5" tint="-0.24994659260841701"/>
      </font>
    </dxf>
  </dxfs>
  <tableStyles count="1" defaultTableStyle="TableStyleMedium2" defaultPivotStyle="PivotStyleLight16">
    <tableStyle name="PivotTable Style 1" table="0" count="1" xr9:uid="{6990E5AA-8EF5-4BFB-BE51-4E05900589EA}">
      <tableStyleElement type="wholeTable" dxfId="15"/>
    </tableStyle>
  </tableStyles>
  <colors>
    <mruColors>
      <color rgb="FFE1ED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Sales Dashboard.xlsx]Revenue by Brand!PivotTable1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solidFill>
                  <a:schemeClr val="accent2">
                    <a:lumMod val="75000"/>
                  </a:schemeClr>
                </a:solidFill>
              </a:rPr>
              <a:t>Total</a:t>
            </a:r>
            <a:r>
              <a:rPr lang="en-US" b="1" i="0" baseline="0">
                <a:solidFill>
                  <a:schemeClr val="accent2">
                    <a:lumMod val="75000"/>
                  </a:schemeClr>
                </a:solidFill>
              </a:rPr>
              <a:t> Revenue By Brand</a:t>
            </a:r>
            <a:endParaRPr lang="en-US" b="1" i="0">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Brand'!$B$3</c:f>
              <c:strCache>
                <c:ptCount val="1"/>
                <c:pt idx="0">
                  <c:v>Total</c:v>
                </c:pt>
              </c:strCache>
            </c:strRef>
          </c:tx>
          <c:spPr>
            <a:solidFill>
              <a:schemeClr val="accent2"/>
            </a:solidFill>
            <a:ln>
              <a:noFill/>
            </a:ln>
            <a:effectLst/>
          </c:spPr>
          <c:invertIfNegative val="0"/>
          <c:cat>
            <c:strRef>
              <c:f>'Revenue by Brand'!$A$4:$A$10</c:f>
              <c:strCache>
                <c:ptCount val="6"/>
                <c:pt idx="0">
                  <c:v>Adidas</c:v>
                </c:pt>
                <c:pt idx="1">
                  <c:v>New Balance</c:v>
                </c:pt>
                <c:pt idx="2">
                  <c:v>Nike</c:v>
                </c:pt>
                <c:pt idx="3">
                  <c:v>Puma</c:v>
                </c:pt>
                <c:pt idx="4">
                  <c:v>Reebok</c:v>
                </c:pt>
                <c:pt idx="5">
                  <c:v>Skechers</c:v>
                </c:pt>
              </c:strCache>
            </c:strRef>
          </c:cat>
          <c:val>
            <c:numRef>
              <c:f>'Revenue by Brand'!$B$4:$B$10</c:f>
              <c:numCache>
                <c:formatCode>General</c:formatCode>
                <c:ptCount val="6"/>
                <c:pt idx="0">
                  <c:v>83487.159999999989</c:v>
                </c:pt>
                <c:pt idx="1">
                  <c:v>64032.369999999995</c:v>
                </c:pt>
                <c:pt idx="2">
                  <c:v>58210.93</c:v>
                </c:pt>
                <c:pt idx="3">
                  <c:v>59793.189999999995</c:v>
                </c:pt>
                <c:pt idx="4">
                  <c:v>74125.25</c:v>
                </c:pt>
                <c:pt idx="5">
                  <c:v>86791.260000000009</c:v>
                </c:pt>
              </c:numCache>
            </c:numRef>
          </c:val>
          <c:extLst>
            <c:ext xmlns:c16="http://schemas.microsoft.com/office/drawing/2014/chart" uri="{C3380CC4-5D6E-409C-BE32-E72D297353CC}">
              <c16:uniqueId val="{00000000-8580-448A-A572-6C0843765CCF}"/>
            </c:ext>
          </c:extLst>
        </c:ser>
        <c:dLbls>
          <c:showLegendKey val="0"/>
          <c:showVal val="0"/>
          <c:showCatName val="0"/>
          <c:showSerName val="0"/>
          <c:showPercent val="0"/>
          <c:showBubbleSize val="0"/>
        </c:dLbls>
        <c:gapWidth val="219"/>
        <c:overlap val="-27"/>
        <c:axId val="1145286479"/>
        <c:axId val="1145282159"/>
      </c:barChart>
      <c:catAx>
        <c:axId val="1145286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2159"/>
        <c:crosses val="autoZero"/>
        <c:auto val="1"/>
        <c:lblAlgn val="ctr"/>
        <c:lblOffset val="100"/>
        <c:noMultiLvlLbl val="0"/>
      </c:catAx>
      <c:valAx>
        <c:axId val="114528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Sales Dashboard.xlsx]Monthly Sales!PivotTable3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lumMod val="75000"/>
                  </a:schemeClr>
                </a:solidFill>
              </a:rPr>
              <a:t>Total Sales By Monthly</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5065616797901"/>
          <c:y val="0.25407188684747739"/>
          <c:w val="0.68672134733158352"/>
          <c:h val="0.54796733741615633"/>
        </c:manualLayout>
      </c:layout>
      <c:lineChart>
        <c:grouping val="stacke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smooth val="0"/>
          <c:extLst>
            <c:ext xmlns:c16="http://schemas.microsoft.com/office/drawing/2014/chart" uri="{C3380CC4-5D6E-409C-BE32-E72D297353CC}">
              <c16:uniqueId val="{00000000-6C0C-403F-B704-428CD35C697F}"/>
            </c:ext>
          </c:extLst>
        </c:ser>
        <c:dLbls>
          <c:showLegendKey val="0"/>
          <c:showVal val="0"/>
          <c:showCatName val="0"/>
          <c:showSerName val="0"/>
          <c:showPercent val="0"/>
          <c:showBubbleSize val="0"/>
        </c:dLbls>
        <c:marker val="1"/>
        <c:smooth val="0"/>
        <c:axId val="1145284559"/>
        <c:axId val="1145285039"/>
      </c:lineChart>
      <c:catAx>
        <c:axId val="11452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5039"/>
        <c:crosses val="autoZero"/>
        <c:auto val="1"/>
        <c:lblAlgn val="ctr"/>
        <c:lblOffset val="100"/>
        <c:noMultiLvlLbl val="0"/>
      </c:catAx>
      <c:valAx>
        <c:axId val="114528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Sales Dashboard.xlsx]Sales Channel Share!PivotTable4</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1">
                <a:solidFill>
                  <a:schemeClr val="accent2">
                    <a:lumMod val="75000"/>
                  </a:schemeClr>
                </a:solidFill>
              </a:rPr>
              <a:t>Total Sales Channel Share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'Sales Channel Share'!$B$3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4E-4782-8FB8-8E840D184EC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4E-4782-8FB8-8E840D184EC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4E-4782-8FB8-8E840D184E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Channel Share'!$A$4:$A$7</c:f>
              <c:strCache>
                <c:ptCount val="3"/>
                <c:pt idx="0">
                  <c:v>Mall</c:v>
                </c:pt>
                <c:pt idx="1">
                  <c:v>Online</c:v>
                </c:pt>
                <c:pt idx="2">
                  <c:v>Retail Store</c:v>
                </c:pt>
              </c:strCache>
            </c:strRef>
          </c:cat>
          <c:val>
            <c:numRef>
              <c:f>'Sales Channel Share'!$B$4:$B$7</c:f>
              <c:numCache>
                <c:formatCode>General</c:formatCode>
                <c:ptCount val="3"/>
                <c:pt idx="0">
                  <c:v>479288.58000000019</c:v>
                </c:pt>
                <c:pt idx="1">
                  <c:v>467772.32000000012</c:v>
                </c:pt>
                <c:pt idx="2">
                  <c:v>506125.1299999996</c:v>
                </c:pt>
              </c:numCache>
            </c:numRef>
          </c:val>
          <c:extLst>
            <c:ext xmlns:c16="http://schemas.microsoft.com/office/drawing/2014/chart" uri="{C3380CC4-5D6E-409C-BE32-E72D297353CC}">
              <c16:uniqueId val="{00000006-374E-4782-8FB8-8E840D184EC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Sales Dashboard.xlsx]Revenue by Country!PivotTable6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Country'!$B$1</c:f>
              <c:strCache>
                <c:ptCount val="1"/>
                <c:pt idx="0">
                  <c:v>Total</c:v>
                </c:pt>
              </c:strCache>
            </c:strRef>
          </c:tx>
          <c:spPr>
            <a:solidFill>
              <a:schemeClr val="accent2"/>
            </a:solidFill>
            <a:ln>
              <a:noFill/>
            </a:ln>
            <a:effectLst/>
          </c:spPr>
          <c:invertIfNegative val="0"/>
          <c:cat>
            <c:strRef>
              <c:f>'Revenue by Country'!$A$2:$A$9</c:f>
              <c:strCache>
                <c:ptCount val="7"/>
                <c:pt idx="0">
                  <c:v>France</c:v>
                </c:pt>
                <c:pt idx="1">
                  <c:v>Germany</c:v>
                </c:pt>
                <c:pt idx="2">
                  <c:v>India</c:v>
                </c:pt>
                <c:pt idx="3">
                  <c:v>Saudi Arabia</c:v>
                </c:pt>
                <c:pt idx="4">
                  <c:v>UAE</c:v>
                </c:pt>
                <c:pt idx="5">
                  <c:v>UK</c:v>
                </c:pt>
                <c:pt idx="6">
                  <c:v>USA</c:v>
                </c:pt>
              </c:strCache>
            </c:strRef>
          </c:cat>
          <c:val>
            <c:numRef>
              <c:f>'Revenue by Country'!$B$2:$B$9</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0-017D-438E-B4A9-947C8472FC2A}"/>
            </c:ext>
          </c:extLst>
        </c:ser>
        <c:dLbls>
          <c:showLegendKey val="0"/>
          <c:showVal val="0"/>
          <c:showCatName val="0"/>
          <c:showSerName val="0"/>
          <c:showPercent val="0"/>
          <c:showBubbleSize val="0"/>
        </c:dLbls>
        <c:gapWidth val="182"/>
        <c:axId val="341025167"/>
        <c:axId val="341029487"/>
      </c:barChart>
      <c:catAx>
        <c:axId val="34102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29487"/>
        <c:crosses val="autoZero"/>
        <c:auto val="1"/>
        <c:lblAlgn val="ctr"/>
        <c:lblOffset val="100"/>
        <c:noMultiLvlLbl val="0"/>
      </c:catAx>
      <c:valAx>
        <c:axId val="34102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2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Sales Dashboard.xlsx]Price and Reavenue by Country!PivotTable3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Total Price and Reavenue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and Reavenue by Country'!$B$3</c:f>
              <c:strCache>
                <c:ptCount val="1"/>
                <c:pt idx="0">
                  <c:v>Sum of Price_USD</c:v>
                </c:pt>
              </c:strCache>
            </c:strRef>
          </c:tx>
          <c:spPr>
            <a:solidFill>
              <a:schemeClr val="accent1"/>
            </a:solidFill>
            <a:ln>
              <a:noFill/>
            </a:ln>
            <a:effectLst/>
          </c:spPr>
          <c:invertIfNegative val="0"/>
          <c:cat>
            <c:strRef>
              <c:f>'Price and Reavenue by Country'!$A$4:$A$11</c:f>
              <c:strCache>
                <c:ptCount val="7"/>
                <c:pt idx="0">
                  <c:v>France</c:v>
                </c:pt>
                <c:pt idx="1">
                  <c:v>Germany</c:v>
                </c:pt>
                <c:pt idx="2">
                  <c:v>India</c:v>
                </c:pt>
                <c:pt idx="3">
                  <c:v>Saudi Arabia</c:v>
                </c:pt>
                <c:pt idx="4">
                  <c:v>UAE</c:v>
                </c:pt>
                <c:pt idx="5">
                  <c:v>UK</c:v>
                </c:pt>
                <c:pt idx="6">
                  <c:v>USA</c:v>
                </c:pt>
              </c:strCache>
            </c:strRef>
          </c:cat>
          <c:val>
            <c:numRef>
              <c:f>'Price and Reavenue by Country'!$B$4:$B$11</c:f>
              <c:numCache>
                <c:formatCode>General</c:formatCode>
                <c:ptCount val="7"/>
                <c:pt idx="0">
                  <c:v>21934.400000000001</c:v>
                </c:pt>
                <c:pt idx="1">
                  <c:v>17637.669999999998</c:v>
                </c:pt>
                <c:pt idx="2">
                  <c:v>20025.550000000003</c:v>
                </c:pt>
                <c:pt idx="3">
                  <c:v>17032.269999999993</c:v>
                </c:pt>
                <c:pt idx="4">
                  <c:v>22485.55000000001</c:v>
                </c:pt>
                <c:pt idx="5">
                  <c:v>17801.23000000001</c:v>
                </c:pt>
                <c:pt idx="6">
                  <c:v>20939.750000000018</c:v>
                </c:pt>
              </c:numCache>
            </c:numRef>
          </c:val>
          <c:extLst>
            <c:ext xmlns:c16="http://schemas.microsoft.com/office/drawing/2014/chart" uri="{C3380CC4-5D6E-409C-BE32-E72D297353CC}">
              <c16:uniqueId val="{00000000-8876-4576-82EC-6213731A6C06}"/>
            </c:ext>
          </c:extLst>
        </c:ser>
        <c:ser>
          <c:idx val="1"/>
          <c:order val="1"/>
          <c:tx>
            <c:strRef>
              <c:f>'Price and Reavenue by Country'!$C$3</c:f>
              <c:strCache>
                <c:ptCount val="1"/>
                <c:pt idx="0">
                  <c:v>Sum of Revenue_USD</c:v>
                </c:pt>
              </c:strCache>
            </c:strRef>
          </c:tx>
          <c:spPr>
            <a:solidFill>
              <a:schemeClr val="accent2"/>
            </a:solidFill>
            <a:ln>
              <a:noFill/>
            </a:ln>
            <a:effectLst/>
          </c:spPr>
          <c:invertIfNegative val="0"/>
          <c:cat>
            <c:strRef>
              <c:f>'Price and Reavenue by Country'!$A$4:$A$11</c:f>
              <c:strCache>
                <c:ptCount val="7"/>
                <c:pt idx="0">
                  <c:v>France</c:v>
                </c:pt>
                <c:pt idx="1">
                  <c:v>Germany</c:v>
                </c:pt>
                <c:pt idx="2">
                  <c:v>India</c:v>
                </c:pt>
                <c:pt idx="3">
                  <c:v>Saudi Arabia</c:v>
                </c:pt>
                <c:pt idx="4">
                  <c:v>UAE</c:v>
                </c:pt>
                <c:pt idx="5">
                  <c:v>UK</c:v>
                </c:pt>
                <c:pt idx="6">
                  <c:v>USA</c:v>
                </c:pt>
              </c:strCache>
            </c:strRef>
          </c:cat>
          <c:val>
            <c:numRef>
              <c:f>'Price and Reavenue by Country'!$C$4:$C$11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1-8876-4576-82EC-6213731A6C06}"/>
            </c:ext>
          </c:extLst>
        </c:ser>
        <c:dLbls>
          <c:showLegendKey val="0"/>
          <c:showVal val="0"/>
          <c:showCatName val="0"/>
          <c:showSerName val="0"/>
          <c:showPercent val="0"/>
          <c:showBubbleSize val="0"/>
        </c:dLbls>
        <c:gapWidth val="182"/>
        <c:axId val="961197295"/>
        <c:axId val="961192015"/>
      </c:barChart>
      <c:catAx>
        <c:axId val="96119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2015"/>
        <c:crosses val="autoZero"/>
        <c:auto val="1"/>
        <c:lblAlgn val="ctr"/>
        <c:lblOffset val="100"/>
        <c:noMultiLvlLbl val="0"/>
      </c:catAx>
      <c:valAx>
        <c:axId val="96119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Sales Dashboard.xlsx]Sum Revenue &amp; Sum Adjust Revenu!PivotTable5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Total</a:t>
            </a:r>
            <a:r>
              <a:rPr lang="en-IN" b="1" baseline="0">
                <a:solidFill>
                  <a:schemeClr val="accent2">
                    <a:lumMod val="75000"/>
                  </a:schemeClr>
                </a:solidFill>
              </a:rPr>
              <a:t> </a:t>
            </a:r>
            <a:r>
              <a:rPr lang="en-IN" b="1">
                <a:solidFill>
                  <a:schemeClr val="accent2">
                    <a:lumMod val="75000"/>
                  </a:schemeClr>
                </a:solidFill>
              </a:rPr>
              <a:t>Revenue &amp;</a:t>
            </a:r>
            <a:r>
              <a:rPr lang="en-IN" b="1" baseline="0">
                <a:solidFill>
                  <a:schemeClr val="accent2">
                    <a:lumMod val="75000"/>
                  </a:schemeClr>
                </a:solidFill>
              </a:rPr>
              <a:t> </a:t>
            </a:r>
            <a:r>
              <a:rPr lang="en-IN" b="1">
                <a:solidFill>
                  <a:schemeClr val="accent2">
                    <a:lumMod val="75000"/>
                  </a:schemeClr>
                </a:solidFill>
              </a:rPr>
              <a:t>Adjust Revenu By Brand</a:t>
            </a:r>
          </a:p>
        </c:rich>
      </c:tx>
      <c:layout>
        <c:manualLayout>
          <c:xMode val="edge"/>
          <c:yMode val="edge"/>
          <c:x val="0.146708223972003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 Revenue &amp; Sum Adjust Revenu'!$B$3</c:f>
              <c:strCache>
                <c:ptCount val="1"/>
                <c:pt idx="0">
                  <c:v>Sum of Adjust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 Revenue &amp; Sum Adjust Revenu'!$A$4:$A$10</c:f>
              <c:strCache>
                <c:ptCount val="6"/>
                <c:pt idx="0">
                  <c:v>Adidas</c:v>
                </c:pt>
                <c:pt idx="1">
                  <c:v>New Balance</c:v>
                </c:pt>
                <c:pt idx="2">
                  <c:v>Nike</c:v>
                </c:pt>
                <c:pt idx="3">
                  <c:v>Puma</c:v>
                </c:pt>
                <c:pt idx="4">
                  <c:v>Reebok</c:v>
                </c:pt>
                <c:pt idx="5">
                  <c:v>Skechers</c:v>
                </c:pt>
              </c:strCache>
            </c:strRef>
          </c:cat>
          <c:val>
            <c:numRef>
              <c:f>'Sum Revenue &amp; Sum Adjust Revenu'!$B$4:$B$10</c:f>
              <c:numCache>
                <c:formatCode>General</c:formatCode>
                <c:ptCount val="6"/>
                <c:pt idx="0">
                  <c:v>231335.13599999997</c:v>
                </c:pt>
                <c:pt idx="1">
                  <c:v>235468.51199999999</c:v>
                </c:pt>
                <c:pt idx="2">
                  <c:v>173313.2950000001</c:v>
                </c:pt>
                <c:pt idx="3">
                  <c:v>210374.63099999994</c:v>
                </c:pt>
                <c:pt idx="4">
                  <c:v>214944.2459999999</c:v>
                </c:pt>
                <c:pt idx="5">
                  <c:v>242156.10299999992</c:v>
                </c:pt>
              </c:numCache>
            </c:numRef>
          </c:val>
          <c:smooth val="0"/>
          <c:extLst>
            <c:ext xmlns:c16="http://schemas.microsoft.com/office/drawing/2014/chart" uri="{C3380CC4-5D6E-409C-BE32-E72D297353CC}">
              <c16:uniqueId val="{00000000-12B8-4632-A2EF-FCB8DB1915ED}"/>
            </c:ext>
          </c:extLst>
        </c:ser>
        <c:ser>
          <c:idx val="1"/>
          <c:order val="1"/>
          <c:tx>
            <c:strRef>
              <c:f>'Sum Revenue &amp; Sum Adjust Revenu'!$C$3</c:f>
              <c:strCache>
                <c:ptCount val="1"/>
                <c:pt idx="0">
                  <c:v>Sum of Revenue_USD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 Revenue &amp; Sum Adjust Revenu'!$A$4:$A$10</c:f>
              <c:strCache>
                <c:ptCount val="6"/>
                <c:pt idx="0">
                  <c:v>Adidas</c:v>
                </c:pt>
                <c:pt idx="1">
                  <c:v>New Balance</c:v>
                </c:pt>
                <c:pt idx="2">
                  <c:v>Nike</c:v>
                </c:pt>
                <c:pt idx="3">
                  <c:v>Puma</c:v>
                </c:pt>
                <c:pt idx="4">
                  <c:v>Reebok</c:v>
                </c:pt>
                <c:pt idx="5">
                  <c:v>Skechers</c:v>
                </c:pt>
              </c:strCache>
            </c:strRef>
          </c:cat>
          <c:val>
            <c:numRef>
              <c:f>'Sum Revenue &amp; Sum Adjust Revenu'!$C$4:$C$10</c:f>
              <c:numCache>
                <c:formatCode>General</c:formatCode>
                <c:ptCount val="6"/>
                <c:pt idx="0">
                  <c:v>257039.03999999989</c:v>
                </c:pt>
                <c:pt idx="1">
                  <c:v>261631.67999999993</c:v>
                </c:pt>
                <c:pt idx="2">
                  <c:v>192770.14999999997</c:v>
                </c:pt>
                <c:pt idx="3">
                  <c:v>233749.59</c:v>
                </c:pt>
                <c:pt idx="4">
                  <c:v>238826.94000000003</c:v>
                </c:pt>
                <c:pt idx="5">
                  <c:v>269168.63000000006</c:v>
                </c:pt>
              </c:numCache>
            </c:numRef>
          </c:val>
          <c:smooth val="0"/>
          <c:extLst>
            <c:ext xmlns:c16="http://schemas.microsoft.com/office/drawing/2014/chart" uri="{C3380CC4-5D6E-409C-BE32-E72D297353CC}">
              <c16:uniqueId val="{00000001-12B8-4632-A2EF-FCB8DB1915ED}"/>
            </c:ext>
          </c:extLst>
        </c:ser>
        <c:dLbls>
          <c:showLegendKey val="0"/>
          <c:showVal val="0"/>
          <c:showCatName val="0"/>
          <c:showSerName val="0"/>
          <c:showPercent val="0"/>
          <c:showBubbleSize val="0"/>
        </c:dLbls>
        <c:marker val="1"/>
        <c:smooth val="0"/>
        <c:axId val="961196335"/>
        <c:axId val="961193455"/>
      </c:lineChart>
      <c:catAx>
        <c:axId val="96119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3455"/>
        <c:crosses val="autoZero"/>
        <c:auto val="1"/>
        <c:lblAlgn val="ctr"/>
        <c:lblOffset val="100"/>
        <c:noMultiLvlLbl val="0"/>
      </c:catAx>
      <c:valAx>
        <c:axId val="96119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Sales Dashboard.xlsx]Revenue by Brand!PivotTable1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Brand'!$B$3</c:f>
              <c:strCache>
                <c:ptCount val="1"/>
                <c:pt idx="0">
                  <c:v>Total</c:v>
                </c:pt>
              </c:strCache>
            </c:strRef>
          </c:tx>
          <c:spPr>
            <a:solidFill>
              <a:schemeClr val="accent2"/>
            </a:solidFill>
            <a:ln>
              <a:noFill/>
            </a:ln>
            <a:effectLst/>
          </c:spPr>
          <c:invertIfNegative val="0"/>
          <c:cat>
            <c:strRef>
              <c:f>'Revenue by Brand'!$A$4:$A$10</c:f>
              <c:strCache>
                <c:ptCount val="6"/>
                <c:pt idx="0">
                  <c:v>Adidas</c:v>
                </c:pt>
                <c:pt idx="1">
                  <c:v>New Balance</c:v>
                </c:pt>
                <c:pt idx="2">
                  <c:v>Nike</c:v>
                </c:pt>
                <c:pt idx="3">
                  <c:v>Puma</c:v>
                </c:pt>
                <c:pt idx="4">
                  <c:v>Reebok</c:v>
                </c:pt>
                <c:pt idx="5">
                  <c:v>Skechers</c:v>
                </c:pt>
              </c:strCache>
            </c:strRef>
          </c:cat>
          <c:val>
            <c:numRef>
              <c:f>'Revenue by Brand'!$B$4:$B$10</c:f>
              <c:numCache>
                <c:formatCode>General</c:formatCode>
                <c:ptCount val="6"/>
                <c:pt idx="0">
                  <c:v>83487.159999999989</c:v>
                </c:pt>
                <c:pt idx="1">
                  <c:v>64032.369999999995</c:v>
                </c:pt>
                <c:pt idx="2">
                  <c:v>58210.93</c:v>
                </c:pt>
                <c:pt idx="3">
                  <c:v>59793.189999999995</c:v>
                </c:pt>
                <c:pt idx="4">
                  <c:v>74125.25</c:v>
                </c:pt>
                <c:pt idx="5">
                  <c:v>86791.260000000009</c:v>
                </c:pt>
              </c:numCache>
            </c:numRef>
          </c:val>
          <c:extLst>
            <c:ext xmlns:c16="http://schemas.microsoft.com/office/drawing/2014/chart" uri="{C3380CC4-5D6E-409C-BE32-E72D297353CC}">
              <c16:uniqueId val="{00000000-726F-4EB2-A4E9-3AE3B19F9E2F}"/>
            </c:ext>
          </c:extLst>
        </c:ser>
        <c:dLbls>
          <c:showLegendKey val="0"/>
          <c:showVal val="0"/>
          <c:showCatName val="0"/>
          <c:showSerName val="0"/>
          <c:showPercent val="0"/>
          <c:showBubbleSize val="0"/>
        </c:dLbls>
        <c:gapWidth val="219"/>
        <c:overlap val="-27"/>
        <c:axId val="1145286479"/>
        <c:axId val="1145282159"/>
      </c:barChart>
      <c:catAx>
        <c:axId val="11452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2159"/>
        <c:crosses val="autoZero"/>
        <c:auto val="1"/>
        <c:lblAlgn val="ctr"/>
        <c:lblOffset val="100"/>
        <c:noMultiLvlLbl val="0"/>
      </c:catAx>
      <c:valAx>
        <c:axId val="114528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Sales Dashboard.xlsx]Monthly 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5065616797901"/>
          <c:y val="0.25407188684747739"/>
          <c:w val="0.68672134733158352"/>
          <c:h val="0.54796733741615633"/>
        </c:manualLayout>
      </c:layout>
      <c:lineChart>
        <c:grouping val="stacke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smooth val="0"/>
          <c:extLst>
            <c:ext xmlns:c16="http://schemas.microsoft.com/office/drawing/2014/chart" uri="{C3380CC4-5D6E-409C-BE32-E72D297353CC}">
              <c16:uniqueId val="{00000000-DD94-4C9D-A79A-0444AEA38ED1}"/>
            </c:ext>
          </c:extLst>
        </c:ser>
        <c:dLbls>
          <c:showLegendKey val="0"/>
          <c:showVal val="0"/>
          <c:showCatName val="0"/>
          <c:showSerName val="0"/>
          <c:showPercent val="0"/>
          <c:showBubbleSize val="0"/>
        </c:dLbls>
        <c:marker val="1"/>
        <c:smooth val="0"/>
        <c:axId val="1145284559"/>
        <c:axId val="1145285039"/>
      </c:lineChart>
      <c:catAx>
        <c:axId val="11452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5039"/>
        <c:crosses val="autoZero"/>
        <c:auto val="1"/>
        <c:lblAlgn val="ctr"/>
        <c:lblOffset val="100"/>
        <c:noMultiLvlLbl val="0"/>
      </c:catAx>
      <c:valAx>
        <c:axId val="114528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8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Sales Dashboard.xlsx]Sales Channel Share!PivotTable4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'Sales Channel Share'!$B$3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1DE-4F63-B112-5A0B7A14CB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1DE-4F63-B112-5A0B7A14CB8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1DE-4F63-B112-5A0B7A14CB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Channel Share'!$A$4:$A$7</c:f>
              <c:strCache>
                <c:ptCount val="3"/>
                <c:pt idx="0">
                  <c:v>Mall</c:v>
                </c:pt>
                <c:pt idx="1">
                  <c:v>Online</c:v>
                </c:pt>
                <c:pt idx="2">
                  <c:v>Retail Store</c:v>
                </c:pt>
              </c:strCache>
            </c:strRef>
          </c:cat>
          <c:val>
            <c:numRef>
              <c:f>'Sales Channel Share'!$B$4:$B$7</c:f>
              <c:numCache>
                <c:formatCode>General</c:formatCode>
                <c:ptCount val="3"/>
                <c:pt idx="0">
                  <c:v>479288.58000000019</c:v>
                </c:pt>
                <c:pt idx="1">
                  <c:v>467772.32000000012</c:v>
                </c:pt>
                <c:pt idx="2">
                  <c:v>506125.1299999996</c:v>
                </c:pt>
              </c:numCache>
            </c:numRef>
          </c:val>
          <c:extLst>
            <c:ext xmlns:c16="http://schemas.microsoft.com/office/drawing/2014/chart" uri="{C3380CC4-5D6E-409C-BE32-E72D297353CC}">
              <c16:uniqueId val="{00000000-8062-48B4-B182-E1A9280DDB6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[Shoes Sales Dashboard.xlsx]Revenue by Country!PivotTable6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Country'!$B$1</c:f>
              <c:strCache>
                <c:ptCount val="1"/>
                <c:pt idx="0">
                  <c:v>Total</c:v>
                </c:pt>
              </c:strCache>
            </c:strRef>
          </c:tx>
          <c:spPr>
            <a:solidFill>
              <a:schemeClr val="accent2"/>
            </a:solidFill>
            <a:ln>
              <a:noFill/>
            </a:ln>
            <a:effectLst/>
          </c:spPr>
          <c:invertIfNegative val="0"/>
          <c:cat>
            <c:strRef>
              <c:f>'Revenue by Country'!$A$2:$A$9</c:f>
              <c:strCache>
                <c:ptCount val="7"/>
                <c:pt idx="0">
                  <c:v>France</c:v>
                </c:pt>
                <c:pt idx="1">
                  <c:v>Germany</c:v>
                </c:pt>
                <c:pt idx="2">
                  <c:v>India</c:v>
                </c:pt>
                <c:pt idx="3">
                  <c:v>Saudi Arabia</c:v>
                </c:pt>
                <c:pt idx="4">
                  <c:v>UAE</c:v>
                </c:pt>
                <c:pt idx="5">
                  <c:v>UK</c:v>
                </c:pt>
                <c:pt idx="6">
                  <c:v>USA</c:v>
                </c:pt>
              </c:strCache>
            </c:strRef>
          </c:cat>
          <c:val>
            <c:numRef>
              <c:f>'Revenue by Country'!$B$2:$B$9</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0-50EB-4C31-A548-55D6550F77E4}"/>
            </c:ext>
          </c:extLst>
        </c:ser>
        <c:dLbls>
          <c:showLegendKey val="0"/>
          <c:showVal val="0"/>
          <c:showCatName val="0"/>
          <c:showSerName val="0"/>
          <c:showPercent val="0"/>
          <c:showBubbleSize val="0"/>
        </c:dLbls>
        <c:gapWidth val="182"/>
        <c:axId val="341025167"/>
        <c:axId val="341029487"/>
      </c:barChart>
      <c:catAx>
        <c:axId val="34102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29487"/>
        <c:crosses val="autoZero"/>
        <c:auto val="1"/>
        <c:lblAlgn val="ctr"/>
        <c:lblOffset val="100"/>
        <c:noMultiLvlLbl val="0"/>
      </c:catAx>
      <c:valAx>
        <c:axId val="34102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2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Sales Dashboard.xlsx]Price and Reavenue by Country!PivotTable3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and Reavenue by Country'!$B$3</c:f>
              <c:strCache>
                <c:ptCount val="1"/>
                <c:pt idx="0">
                  <c:v>Sum of Price_USD</c:v>
                </c:pt>
              </c:strCache>
            </c:strRef>
          </c:tx>
          <c:spPr>
            <a:solidFill>
              <a:schemeClr val="accent1"/>
            </a:solidFill>
            <a:ln>
              <a:noFill/>
            </a:ln>
            <a:effectLst/>
          </c:spPr>
          <c:invertIfNegative val="0"/>
          <c:cat>
            <c:strRef>
              <c:f>'Price and Reavenue by Country'!$A$4:$A$11</c:f>
              <c:strCache>
                <c:ptCount val="7"/>
                <c:pt idx="0">
                  <c:v>France</c:v>
                </c:pt>
                <c:pt idx="1">
                  <c:v>Germany</c:v>
                </c:pt>
                <c:pt idx="2">
                  <c:v>India</c:v>
                </c:pt>
                <c:pt idx="3">
                  <c:v>Saudi Arabia</c:v>
                </c:pt>
                <c:pt idx="4">
                  <c:v>UAE</c:v>
                </c:pt>
                <c:pt idx="5">
                  <c:v>UK</c:v>
                </c:pt>
                <c:pt idx="6">
                  <c:v>USA</c:v>
                </c:pt>
              </c:strCache>
            </c:strRef>
          </c:cat>
          <c:val>
            <c:numRef>
              <c:f>'Price and Reavenue by Country'!$B$4:$B$11</c:f>
              <c:numCache>
                <c:formatCode>General</c:formatCode>
                <c:ptCount val="7"/>
                <c:pt idx="0">
                  <c:v>21934.400000000001</c:v>
                </c:pt>
                <c:pt idx="1">
                  <c:v>17637.669999999998</c:v>
                </c:pt>
                <c:pt idx="2">
                  <c:v>20025.550000000003</c:v>
                </c:pt>
                <c:pt idx="3">
                  <c:v>17032.269999999993</c:v>
                </c:pt>
                <c:pt idx="4">
                  <c:v>22485.55000000001</c:v>
                </c:pt>
                <c:pt idx="5">
                  <c:v>17801.23000000001</c:v>
                </c:pt>
                <c:pt idx="6">
                  <c:v>20939.750000000018</c:v>
                </c:pt>
              </c:numCache>
            </c:numRef>
          </c:val>
          <c:extLst>
            <c:ext xmlns:c16="http://schemas.microsoft.com/office/drawing/2014/chart" uri="{C3380CC4-5D6E-409C-BE32-E72D297353CC}">
              <c16:uniqueId val="{00000000-B2C9-4C1C-86F4-62E289D59EB9}"/>
            </c:ext>
          </c:extLst>
        </c:ser>
        <c:ser>
          <c:idx val="1"/>
          <c:order val="1"/>
          <c:tx>
            <c:strRef>
              <c:f>'Price and Reavenue by Country'!$C$3</c:f>
              <c:strCache>
                <c:ptCount val="1"/>
                <c:pt idx="0">
                  <c:v>Sum of Revenue_USD</c:v>
                </c:pt>
              </c:strCache>
            </c:strRef>
          </c:tx>
          <c:spPr>
            <a:solidFill>
              <a:schemeClr val="accent2"/>
            </a:solidFill>
            <a:ln>
              <a:noFill/>
            </a:ln>
            <a:effectLst/>
          </c:spPr>
          <c:invertIfNegative val="0"/>
          <c:cat>
            <c:strRef>
              <c:f>'Price and Reavenue by Country'!$A$4:$A$11</c:f>
              <c:strCache>
                <c:ptCount val="7"/>
                <c:pt idx="0">
                  <c:v>France</c:v>
                </c:pt>
                <c:pt idx="1">
                  <c:v>Germany</c:v>
                </c:pt>
                <c:pt idx="2">
                  <c:v>India</c:v>
                </c:pt>
                <c:pt idx="3">
                  <c:v>Saudi Arabia</c:v>
                </c:pt>
                <c:pt idx="4">
                  <c:v>UAE</c:v>
                </c:pt>
                <c:pt idx="5">
                  <c:v>UK</c:v>
                </c:pt>
                <c:pt idx="6">
                  <c:v>USA</c:v>
                </c:pt>
              </c:strCache>
            </c:strRef>
          </c:cat>
          <c:val>
            <c:numRef>
              <c:f>'Price and Reavenue by Country'!$C$4:$C$11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1-B2C9-4C1C-86F4-62E289D59EB9}"/>
            </c:ext>
          </c:extLst>
        </c:ser>
        <c:dLbls>
          <c:showLegendKey val="0"/>
          <c:showVal val="0"/>
          <c:showCatName val="0"/>
          <c:showSerName val="0"/>
          <c:showPercent val="0"/>
          <c:showBubbleSize val="0"/>
        </c:dLbls>
        <c:gapWidth val="182"/>
        <c:axId val="961197295"/>
        <c:axId val="961192015"/>
      </c:barChart>
      <c:catAx>
        <c:axId val="96119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2015"/>
        <c:crosses val="autoZero"/>
        <c:auto val="1"/>
        <c:lblAlgn val="ctr"/>
        <c:lblOffset val="100"/>
        <c:noMultiLvlLbl val="0"/>
      </c:catAx>
      <c:valAx>
        <c:axId val="96119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 Sales Dashboard.xlsx]Sum Revenue &amp; Sum Adjust Revenu!PivotTable5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 Revenue &amp; Sum Adjust Revenu'!$B$3</c:f>
              <c:strCache>
                <c:ptCount val="1"/>
                <c:pt idx="0">
                  <c:v>Sum of Adjust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 Revenue &amp; Sum Adjust Revenu'!$A$4:$A$10</c:f>
              <c:strCache>
                <c:ptCount val="6"/>
                <c:pt idx="0">
                  <c:v>Adidas</c:v>
                </c:pt>
                <c:pt idx="1">
                  <c:v>New Balance</c:v>
                </c:pt>
                <c:pt idx="2">
                  <c:v>Nike</c:v>
                </c:pt>
                <c:pt idx="3">
                  <c:v>Puma</c:v>
                </c:pt>
                <c:pt idx="4">
                  <c:v>Reebok</c:v>
                </c:pt>
                <c:pt idx="5">
                  <c:v>Skechers</c:v>
                </c:pt>
              </c:strCache>
            </c:strRef>
          </c:cat>
          <c:val>
            <c:numRef>
              <c:f>'Sum Revenue &amp; Sum Adjust Revenu'!$B$4:$B$10</c:f>
              <c:numCache>
                <c:formatCode>General</c:formatCode>
                <c:ptCount val="6"/>
                <c:pt idx="0">
                  <c:v>231335.13599999997</c:v>
                </c:pt>
                <c:pt idx="1">
                  <c:v>235468.51199999999</c:v>
                </c:pt>
                <c:pt idx="2">
                  <c:v>173313.2950000001</c:v>
                </c:pt>
                <c:pt idx="3">
                  <c:v>210374.63099999994</c:v>
                </c:pt>
                <c:pt idx="4">
                  <c:v>214944.2459999999</c:v>
                </c:pt>
                <c:pt idx="5">
                  <c:v>242156.10299999992</c:v>
                </c:pt>
              </c:numCache>
            </c:numRef>
          </c:val>
          <c:smooth val="0"/>
          <c:extLst>
            <c:ext xmlns:c16="http://schemas.microsoft.com/office/drawing/2014/chart" uri="{C3380CC4-5D6E-409C-BE32-E72D297353CC}">
              <c16:uniqueId val="{00000000-05D7-4DE3-B448-5F05E546A03E}"/>
            </c:ext>
          </c:extLst>
        </c:ser>
        <c:ser>
          <c:idx val="1"/>
          <c:order val="1"/>
          <c:tx>
            <c:strRef>
              <c:f>'Sum Revenue &amp; Sum Adjust Revenu'!$C$3</c:f>
              <c:strCache>
                <c:ptCount val="1"/>
                <c:pt idx="0">
                  <c:v>Sum of Revenue_USD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 Revenue &amp; Sum Adjust Revenu'!$A$4:$A$10</c:f>
              <c:strCache>
                <c:ptCount val="6"/>
                <c:pt idx="0">
                  <c:v>Adidas</c:v>
                </c:pt>
                <c:pt idx="1">
                  <c:v>New Balance</c:v>
                </c:pt>
                <c:pt idx="2">
                  <c:v>Nike</c:v>
                </c:pt>
                <c:pt idx="3">
                  <c:v>Puma</c:v>
                </c:pt>
                <c:pt idx="4">
                  <c:v>Reebok</c:v>
                </c:pt>
                <c:pt idx="5">
                  <c:v>Skechers</c:v>
                </c:pt>
              </c:strCache>
            </c:strRef>
          </c:cat>
          <c:val>
            <c:numRef>
              <c:f>'Sum Revenue &amp; Sum Adjust Revenu'!$C$4:$C$10</c:f>
              <c:numCache>
                <c:formatCode>General</c:formatCode>
                <c:ptCount val="6"/>
                <c:pt idx="0">
                  <c:v>257039.03999999989</c:v>
                </c:pt>
                <c:pt idx="1">
                  <c:v>261631.67999999993</c:v>
                </c:pt>
                <c:pt idx="2">
                  <c:v>192770.14999999997</c:v>
                </c:pt>
                <c:pt idx="3">
                  <c:v>233749.59</c:v>
                </c:pt>
                <c:pt idx="4">
                  <c:v>238826.94000000003</c:v>
                </c:pt>
                <c:pt idx="5">
                  <c:v>269168.63000000006</c:v>
                </c:pt>
              </c:numCache>
            </c:numRef>
          </c:val>
          <c:smooth val="0"/>
          <c:extLst>
            <c:ext xmlns:c16="http://schemas.microsoft.com/office/drawing/2014/chart" uri="{C3380CC4-5D6E-409C-BE32-E72D297353CC}">
              <c16:uniqueId val="{00000001-05D7-4DE3-B448-5F05E546A03E}"/>
            </c:ext>
          </c:extLst>
        </c:ser>
        <c:dLbls>
          <c:showLegendKey val="0"/>
          <c:showVal val="0"/>
          <c:showCatName val="0"/>
          <c:showSerName val="0"/>
          <c:showPercent val="0"/>
          <c:showBubbleSize val="0"/>
        </c:dLbls>
        <c:marker val="1"/>
        <c:smooth val="0"/>
        <c:axId val="961196335"/>
        <c:axId val="961193455"/>
      </c:lineChart>
      <c:catAx>
        <c:axId val="96119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3455"/>
        <c:crosses val="autoZero"/>
        <c:auto val="1"/>
        <c:lblAlgn val="ctr"/>
        <c:lblOffset val="100"/>
        <c:noMultiLvlLbl val="0"/>
      </c:catAx>
      <c:valAx>
        <c:axId val="96119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9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257175</xdr:colOff>
      <xdr:row>0</xdr:row>
      <xdr:rowOff>152400</xdr:rowOff>
    </xdr:from>
    <xdr:to>
      <xdr:col>29</xdr:col>
      <xdr:colOff>228601</xdr:colOff>
      <xdr:row>4</xdr:row>
      <xdr:rowOff>9525</xdr:rowOff>
    </xdr:to>
    <xdr:sp macro="" textlink="">
      <xdr:nvSpPr>
        <xdr:cNvPr id="2" name="Rectangle: Diagonal Corners Snipped 1">
          <a:extLst>
            <a:ext uri="{FF2B5EF4-FFF2-40B4-BE49-F238E27FC236}">
              <a16:creationId xmlns:a16="http://schemas.microsoft.com/office/drawing/2014/main" id="{7BF51337-DA29-8069-ACD9-BE0CD2322555}"/>
            </a:ext>
          </a:extLst>
        </xdr:cNvPr>
        <xdr:cNvSpPr/>
      </xdr:nvSpPr>
      <xdr:spPr>
        <a:xfrm>
          <a:off x="257175" y="152400"/>
          <a:ext cx="17649826" cy="542925"/>
        </a:xfrm>
        <a:prstGeom prst="snip2DiagRect">
          <a:avLst/>
        </a:prstGeom>
        <a:ln>
          <a:solidFill>
            <a:schemeClr val="bg2"/>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IN" sz="2800" b="1" i="1"/>
            <a:t>SHOES</a:t>
          </a:r>
          <a:r>
            <a:rPr lang="en-IN" sz="2800" b="1" i="1" baseline="0"/>
            <a:t> SALES DASHBOARD</a:t>
          </a:r>
          <a:endParaRPr lang="en-IN" sz="2800" b="1" i="1"/>
        </a:p>
      </xdr:txBody>
    </xdr:sp>
    <xdr:clientData/>
  </xdr:twoCellAnchor>
  <xdr:twoCellAnchor>
    <xdr:from>
      <xdr:col>4</xdr:col>
      <xdr:colOff>552450</xdr:colOff>
      <xdr:row>6</xdr:row>
      <xdr:rowOff>161925</xdr:rowOff>
    </xdr:from>
    <xdr:to>
      <xdr:col>8</xdr:col>
      <xdr:colOff>561975</xdr:colOff>
      <xdr:row>13</xdr:row>
      <xdr:rowOff>161925</xdr:rowOff>
    </xdr:to>
    <xdr:sp macro="" textlink="">
      <xdr:nvSpPr>
        <xdr:cNvPr id="6" name="Rectangle: Diagonal Corners Rounded 5">
          <a:extLst>
            <a:ext uri="{FF2B5EF4-FFF2-40B4-BE49-F238E27FC236}">
              <a16:creationId xmlns:a16="http://schemas.microsoft.com/office/drawing/2014/main" id="{F3E8C40C-7A63-ED3C-C05A-B579EE41E2A5}"/>
            </a:ext>
          </a:extLst>
        </xdr:cNvPr>
        <xdr:cNvSpPr/>
      </xdr:nvSpPr>
      <xdr:spPr>
        <a:xfrm>
          <a:off x="2990850" y="1190625"/>
          <a:ext cx="2447925" cy="1200150"/>
        </a:xfrm>
        <a:prstGeom prst="round2DiagRect">
          <a:avLst/>
        </a:prstGeom>
        <a:solidFill>
          <a:srgbClr val="E1EDFB"/>
        </a:solidFill>
        <a:ln>
          <a:noFill/>
        </a:ln>
        <a:effectLst>
          <a:outerShdw blurRad="44450" dist="27940" dir="5400000" algn="ctr">
            <a:srgbClr val="000000">
              <a:alpha val="32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800" b="1">
              <a:solidFill>
                <a:schemeClr val="accent2">
                  <a:lumMod val="75000"/>
                </a:schemeClr>
              </a:solidFill>
            </a:rPr>
            <a:t>Total</a:t>
          </a:r>
          <a:r>
            <a:rPr lang="en-IN" sz="1800" b="1" baseline="0">
              <a:solidFill>
                <a:schemeClr val="accent2">
                  <a:lumMod val="75000"/>
                </a:schemeClr>
              </a:solidFill>
            </a:rPr>
            <a:t> Sales</a:t>
          </a:r>
        </a:p>
        <a:p>
          <a:pPr algn="ctr"/>
          <a:endParaRPr lang="en-IN" sz="1400" b="1" baseline="0">
            <a:solidFill>
              <a:sysClr val="windowText" lastClr="000000"/>
            </a:solidFill>
          </a:endParaRPr>
        </a:p>
        <a:p>
          <a:pPr algn="ctr"/>
          <a:r>
            <a:rPr lang="en-IN" sz="2400" b="1" i="0" u="none" strike="noStrike">
              <a:solidFill>
                <a:schemeClr val="accent2">
                  <a:lumMod val="75000"/>
                </a:schemeClr>
              </a:solidFill>
              <a:effectLst/>
              <a:latin typeface="+mn-lt"/>
              <a:ea typeface="+mn-ea"/>
              <a:cs typeface="+mn-cs"/>
            </a:rPr>
            <a:t>1453186.03</a:t>
          </a:r>
          <a:r>
            <a:rPr lang="en-IN" sz="2000">
              <a:effectLst/>
            </a:rPr>
            <a:t> </a:t>
          </a:r>
          <a:endParaRPr lang="en-IN" sz="20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l"/>
          <a:endParaRPr lang="en-IN" sz="1100" baseline="0">
            <a:solidFill>
              <a:sysClr val="windowText" lastClr="000000"/>
            </a:solidFill>
          </a:endParaRPr>
        </a:p>
        <a:p>
          <a:pPr algn="l"/>
          <a:endParaRPr lang="en-IN" sz="1100">
            <a:solidFill>
              <a:sysClr val="windowText" lastClr="000000"/>
            </a:solidFill>
          </a:endParaRPr>
        </a:p>
      </xdr:txBody>
    </xdr:sp>
    <xdr:clientData/>
  </xdr:twoCellAnchor>
  <xdr:twoCellAnchor>
    <xdr:from>
      <xdr:col>20</xdr:col>
      <xdr:colOff>47624</xdr:colOff>
      <xdr:row>6</xdr:row>
      <xdr:rowOff>104775</xdr:rowOff>
    </xdr:from>
    <xdr:to>
      <xdr:col>23</xdr:col>
      <xdr:colOff>600075</xdr:colOff>
      <xdr:row>13</xdr:row>
      <xdr:rowOff>152400</xdr:rowOff>
    </xdr:to>
    <xdr:sp macro="" textlink="">
      <xdr:nvSpPr>
        <xdr:cNvPr id="7" name="Rectangle: Diagonal Corners Rounded 6">
          <a:extLst>
            <a:ext uri="{FF2B5EF4-FFF2-40B4-BE49-F238E27FC236}">
              <a16:creationId xmlns:a16="http://schemas.microsoft.com/office/drawing/2014/main" id="{47AA3CC8-5CDD-48A4-8C95-BCB58BFB0925}"/>
            </a:ext>
          </a:extLst>
        </xdr:cNvPr>
        <xdr:cNvSpPr/>
      </xdr:nvSpPr>
      <xdr:spPr>
        <a:xfrm>
          <a:off x="12239624" y="1133475"/>
          <a:ext cx="2381251" cy="1247775"/>
        </a:xfrm>
        <a:prstGeom prst="round2DiagRect">
          <a:avLst/>
        </a:prstGeom>
        <a:solidFill>
          <a:srgbClr val="E1EDFB"/>
        </a:solidFill>
        <a:ln>
          <a:noFill/>
        </a:ln>
        <a:effectLst>
          <a:outerShdw blurRad="44450" dist="27940" dir="5400000" algn="ctr">
            <a:srgbClr val="000000">
              <a:alpha val="32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800" b="1">
              <a:solidFill>
                <a:schemeClr val="accent2">
                  <a:lumMod val="75000"/>
                </a:schemeClr>
              </a:solidFill>
            </a:rPr>
            <a:t>Adjust revenue</a:t>
          </a:r>
        </a:p>
        <a:p>
          <a:pPr algn="ctr"/>
          <a:endParaRPr lang="en-IN" sz="1400" b="1" baseline="0">
            <a:solidFill>
              <a:sysClr val="windowText" lastClr="000000"/>
            </a:solidFill>
          </a:endParaRPr>
        </a:p>
        <a:p>
          <a:pPr algn="ctr"/>
          <a:r>
            <a:rPr lang="en-IN" sz="2400" b="1" i="0" u="none" strike="noStrike">
              <a:solidFill>
                <a:schemeClr val="accent2">
                  <a:lumMod val="75000"/>
                </a:schemeClr>
              </a:solidFill>
              <a:effectLst/>
              <a:latin typeface="+mn-lt"/>
              <a:ea typeface="+mn-ea"/>
              <a:cs typeface="+mn-cs"/>
            </a:rPr>
            <a:t>13,07,591.923</a:t>
          </a:r>
          <a:r>
            <a:rPr lang="en-IN" sz="3200">
              <a:solidFill>
                <a:schemeClr val="accent2">
                  <a:lumMod val="75000"/>
                </a:schemeClr>
              </a:solidFill>
              <a:effectLst/>
            </a:rPr>
            <a:t> </a:t>
          </a:r>
          <a:endParaRPr lang="en-IN" sz="4400" b="1" baseline="0">
            <a:solidFill>
              <a:schemeClr val="accent2">
                <a:lumMod val="75000"/>
              </a:schemeClr>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l"/>
          <a:endParaRPr lang="en-IN" sz="1100" baseline="0">
            <a:solidFill>
              <a:sysClr val="windowText" lastClr="000000"/>
            </a:solidFill>
          </a:endParaRPr>
        </a:p>
        <a:p>
          <a:pPr algn="l"/>
          <a:endParaRPr lang="en-IN" sz="1100">
            <a:solidFill>
              <a:sysClr val="windowText" lastClr="000000"/>
            </a:solidFill>
          </a:endParaRPr>
        </a:p>
      </xdr:txBody>
    </xdr:sp>
    <xdr:clientData/>
  </xdr:twoCellAnchor>
  <xdr:twoCellAnchor>
    <xdr:from>
      <xdr:col>10</xdr:col>
      <xdr:colOff>95251</xdr:colOff>
      <xdr:row>6</xdr:row>
      <xdr:rowOff>142876</xdr:rowOff>
    </xdr:from>
    <xdr:to>
      <xdr:col>13</xdr:col>
      <xdr:colOff>514351</xdr:colOff>
      <xdr:row>13</xdr:row>
      <xdr:rowOff>133350</xdr:rowOff>
    </xdr:to>
    <xdr:sp macro="" textlink="">
      <xdr:nvSpPr>
        <xdr:cNvPr id="8" name="Rectangle: Diagonal Corners Rounded 7">
          <a:extLst>
            <a:ext uri="{FF2B5EF4-FFF2-40B4-BE49-F238E27FC236}">
              <a16:creationId xmlns:a16="http://schemas.microsoft.com/office/drawing/2014/main" id="{94A8D5D5-4FFF-4684-A986-0F8715E75BA1}"/>
            </a:ext>
          </a:extLst>
        </xdr:cNvPr>
        <xdr:cNvSpPr/>
      </xdr:nvSpPr>
      <xdr:spPr>
        <a:xfrm>
          <a:off x="6191251" y="1171576"/>
          <a:ext cx="2247900" cy="1190624"/>
        </a:xfrm>
        <a:prstGeom prst="round2DiagRect">
          <a:avLst/>
        </a:prstGeom>
        <a:solidFill>
          <a:srgbClr val="E1EDFB"/>
        </a:solidFill>
        <a:ln>
          <a:noFill/>
        </a:ln>
        <a:effectLst>
          <a:outerShdw blurRad="44450" dist="27940" dir="5400000" algn="ctr">
            <a:srgbClr val="000000">
              <a:alpha val="32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800" b="1">
              <a:solidFill>
                <a:schemeClr val="accent2">
                  <a:lumMod val="75000"/>
                </a:schemeClr>
              </a:solidFill>
            </a:rPr>
            <a:t>Total</a:t>
          </a:r>
          <a:r>
            <a:rPr lang="en-IN" sz="1800" b="1" baseline="0">
              <a:solidFill>
                <a:schemeClr val="accent2">
                  <a:lumMod val="75000"/>
                </a:schemeClr>
              </a:solidFill>
            </a:rPr>
            <a:t> Order</a:t>
          </a:r>
        </a:p>
        <a:p>
          <a:pPr algn="ctr"/>
          <a:endParaRPr lang="en-IN" sz="1800" b="1" baseline="0">
            <a:solidFill>
              <a:schemeClr val="accent2">
                <a:lumMod val="75000"/>
              </a:schemeClr>
            </a:solidFill>
          </a:endParaRPr>
        </a:p>
        <a:p>
          <a:pPr algn="ctr"/>
          <a:r>
            <a:rPr lang="en-IN" sz="2400" b="1" baseline="0">
              <a:solidFill>
                <a:schemeClr val="accent2">
                  <a:lumMod val="75000"/>
                </a:schemeClr>
              </a:solidFill>
            </a:rPr>
            <a:t>1,000</a:t>
          </a:r>
        </a:p>
        <a:p>
          <a:pPr algn="ctr"/>
          <a:endParaRPr lang="en-IN" sz="1800" b="1" baseline="0">
            <a:solidFill>
              <a:schemeClr val="accent2">
                <a:lumMod val="75000"/>
              </a:schemeClr>
            </a:solidFill>
          </a:endParaRPr>
        </a:p>
        <a:p>
          <a:pPr algn="ctr"/>
          <a:endParaRPr lang="en-IN" sz="1400" b="1" baseline="0">
            <a:solidFill>
              <a:sysClr val="windowText" lastClr="000000"/>
            </a:solidFill>
          </a:endParaRPr>
        </a:p>
        <a:p>
          <a:pPr algn="ctr"/>
          <a:endParaRPr lang="en-IN" sz="14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l"/>
          <a:endParaRPr lang="en-IN" sz="1100" baseline="0">
            <a:solidFill>
              <a:sysClr val="windowText" lastClr="000000"/>
            </a:solidFill>
          </a:endParaRPr>
        </a:p>
        <a:p>
          <a:pPr algn="l"/>
          <a:endParaRPr lang="en-IN" sz="1100">
            <a:solidFill>
              <a:sysClr val="windowText" lastClr="000000"/>
            </a:solidFill>
          </a:endParaRPr>
        </a:p>
      </xdr:txBody>
    </xdr:sp>
    <xdr:clientData/>
  </xdr:twoCellAnchor>
  <xdr:twoCellAnchor>
    <xdr:from>
      <xdr:col>15</xdr:col>
      <xdr:colOff>19050</xdr:colOff>
      <xdr:row>6</xdr:row>
      <xdr:rowOff>104775</xdr:rowOff>
    </xdr:from>
    <xdr:to>
      <xdr:col>18</xdr:col>
      <xdr:colOff>514350</xdr:colOff>
      <xdr:row>13</xdr:row>
      <xdr:rowOff>142875</xdr:rowOff>
    </xdr:to>
    <xdr:sp macro="" textlink="">
      <xdr:nvSpPr>
        <xdr:cNvPr id="9" name="Rectangle: Diagonal Corners Rounded 8">
          <a:extLst>
            <a:ext uri="{FF2B5EF4-FFF2-40B4-BE49-F238E27FC236}">
              <a16:creationId xmlns:a16="http://schemas.microsoft.com/office/drawing/2014/main" id="{591044C7-2950-4A2F-8963-7E05931A919E}"/>
            </a:ext>
          </a:extLst>
        </xdr:cNvPr>
        <xdr:cNvSpPr/>
      </xdr:nvSpPr>
      <xdr:spPr>
        <a:xfrm>
          <a:off x="9163050" y="1133475"/>
          <a:ext cx="2324100" cy="1238250"/>
        </a:xfrm>
        <a:prstGeom prst="round2DiagRect">
          <a:avLst/>
        </a:prstGeom>
        <a:solidFill>
          <a:srgbClr val="E1EDFB"/>
        </a:solidFill>
        <a:ln>
          <a:noFill/>
        </a:ln>
        <a:effectLst>
          <a:outerShdw blurRad="44450" dist="27940" dir="5400000" algn="ctr">
            <a:srgbClr val="000000">
              <a:alpha val="32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800" b="1">
              <a:solidFill>
                <a:schemeClr val="accent2">
                  <a:lumMod val="75000"/>
                </a:schemeClr>
              </a:solidFill>
              <a:effectLst/>
              <a:latin typeface="+mn-lt"/>
              <a:ea typeface="+mn-ea"/>
              <a:cs typeface="+mn-cs"/>
            </a:rPr>
            <a:t>Total</a:t>
          </a:r>
          <a:r>
            <a:rPr lang="en-IN" sz="1800" b="1" baseline="0">
              <a:solidFill>
                <a:schemeClr val="accent2">
                  <a:lumMod val="75000"/>
                </a:schemeClr>
              </a:solidFill>
              <a:effectLst/>
              <a:latin typeface="+mn-lt"/>
              <a:ea typeface="+mn-ea"/>
              <a:cs typeface="+mn-cs"/>
            </a:rPr>
            <a:t> Quantity</a:t>
          </a:r>
          <a:endParaRPr lang="en-IN" sz="3200" b="1">
            <a:solidFill>
              <a:schemeClr val="accent2">
                <a:lumMod val="75000"/>
              </a:schemeClr>
            </a:solidFill>
            <a:effectLst/>
          </a:endParaRPr>
        </a:p>
        <a:p>
          <a:pPr algn="ctr"/>
          <a:r>
            <a:rPr lang="en-IN" sz="2400" b="1" i="0" u="none" strike="noStrike">
              <a:solidFill>
                <a:schemeClr val="accent2">
                  <a:lumMod val="75000"/>
                </a:schemeClr>
              </a:solidFill>
              <a:effectLst/>
              <a:latin typeface="+mn-lt"/>
              <a:ea typeface="+mn-ea"/>
              <a:cs typeface="+mn-cs"/>
            </a:rPr>
            <a:t>10,584</a:t>
          </a:r>
          <a:r>
            <a:rPr lang="en-IN" sz="4800">
              <a:solidFill>
                <a:schemeClr val="accent2">
                  <a:lumMod val="75000"/>
                </a:schemeClr>
              </a:solidFill>
              <a:effectLst/>
            </a:rPr>
            <a:t> </a:t>
          </a:r>
          <a:r>
            <a:rPr lang="en-IN" sz="3200">
              <a:solidFill>
                <a:schemeClr val="accent2">
                  <a:lumMod val="75000"/>
                </a:schemeClr>
              </a:solidFill>
              <a:effectLst/>
            </a:rPr>
            <a:t> </a:t>
          </a:r>
          <a:endParaRPr lang="en-IN" sz="4400" b="1" baseline="0">
            <a:solidFill>
              <a:schemeClr val="accent2">
                <a:lumMod val="75000"/>
              </a:schemeClr>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l"/>
          <a:endParaRPr lang="en-IN" sz="1100" baseline="0">
            <a:solidFill>
              <a:sysClr val="windowText" lastClr="000000"/>
            </a:solidFill>
          </a:endParaRPr>
        </a:p>
        <a:p>
          <a:pPr algn="l"/>
          <a:endParaRPr lang="en-IN" sz="1100">
            <a:solidFill>
              <a:sysClr val="windowText" lastClr="000000"/>
            </a:solidFill>
          </a:endParaRPr>
        </a:p>
      </xdr:txBody>
    </xdr:sp>
    <xdr:clientData/>
  </xdr:twoCellAnchor>
  <xdr:twoCellAnchor>
    <xdr:from>
      <xdr:col>4</xdr:col>
      <xdr:colOff>447675</xdr:colOff>
      <xdr:row>17</xdr:row>
      <xdr:rowOff>0</xdr:rowOff>
    </xdr:from>
    <xdr:to>
      <xdr:col>12</xdr:col>
      <xdr:colOff>142875</xdr:colOff>
      <xdr:row>33</xdr:row>
      <xdr:rowOff>43030</xdr:rowOff>
    </xdr:to>
    <xdr:graphicFrame macro="">
      <xdr:nvGraphicFramePr>
        <xdr:cNvPr id="10" name="Chart 9">
          <a:extLst>
            <a:ext uri="{FF2B5EF4-FFF2-40B4-BE49-F238E27FC236}">
              <a16:creationId xmlns:a16="http://schemas.microsoft.com/office/drawing/2014/main" id="{1DEE47C1-174A-4B75-B8E7-8F899B491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400050</xdr:colOff>
      <xdr:row>5</xdr:row>
      <xdr:rowOff>66675</xdr:rowOff>
    </xdr:from>
    <xdr:to>
      <xdr:col>3</xdr:col>
      <xdr:colOff>561975</xdr:colOff>
      <xdr:row>17</xdr:row>
      <xdr:rowOff>133350</xdr:rowOff>
    </xdr:to>
    <mc:AlternateContent xmlns:mc="http://schemas.openxmlformats.org/markup-compatibility/2006">
      <mc:Choice xmlns:a14="http://schemas.microsoft.com/office/drawing/2010/main" Requires="a14">
        <xdr:graphicFrame macro="">
          <xdr:nvGraphicFramePr>
            <xdr:cNvPr id="11" name="Country 1">
              <a:extLst>
                <a:ext uri="{FF2B5EF4-FFF2-40B4-BE49-F238E27FC236}">
                  <a16:creationId xmlns:a16="http://schemas.microsoft.com/office/drawing/2014/main" id="{3D3E24BC-9905-4C8E-8199-F2D4EBDA3EF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00050" y="923925"/>
              <a:ext cx="1990725" cy="2124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342900</xdr:colOff>
      <xdr:row>36</xdr:row>
      <xdr:rowOff>133349</xdr:rowOff>
    </xdr:from>
    <xdr:to>
      <xdr:col>29</xdr:col>
      <xdr:colOff>38100</xdr:colOff>
      <xdr:row>53</xdr:row>
      <xdr:rowOff>47624</xdr:rowOff>
    </xdr:to>
    <xdr:graphicFrame macro="">
      <xdr:nvGraphicFramePr>
        <xdr:cNvPr id="12" name="Chart 11">
          <a:extLst>
            <a:ext uri="{FF2B5EF4-FFF2-40B4-BE49-F238E27FC236}">
              <a16:creationId xmlns:a16="http://schemas.microsoft.com/office/drawing/2014/main" id="{2A430BBC-A015-4F0F-9DB1-3BD0E8B0D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304800</xdr:colOff>
      <xdr:row>16</xdr:row>
      <xdr:rowOff>161924</xdr:rowOff>
    </xdr:from>
    <xdr:to>
      <xdr:col>29</xdr:col>
      <xdr:colOff>0</xdr:colOff>
      <xdr:row>33</xdr:row>
      <xdr:rowOff>95249</xdr:rowOff>
    </xdr:to>
    <xdr:graphicFrame macro="">
      <xdr:nvGraphicFramePr>
        <xdr:cNvPr id="13" name="Chart 12">
          <a:extLst>
            <a:ext uri="{FF2B5EF4-FFF2-40B4-BE49-F238E27FC236}">
              <a16:creationId xmlns:a16="http://schemas.microsoft.com/office/drawing/2014/main" id="{8B4FFEBD-55FC-4D7C-AD6E-B701AA320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xdr:colOff>
      <xdr:row>36</xdr:row>
      <xdr:rowOff>76200</xdr:rowOff>
    </xdr:from>
    <xdr:to>
      <xdr:col>20</xdr:col>
      <xdr:colOff>333375</xdr:colOff>
      <xdr:row>52</xdr:row>
      <xdr:rowOff>76200</xdr:rowOff>
    </xdr:to>
    <xdr:graphicFrame macro="">
      <xdr:nvGraphicFramePr>
        <xdr:cNvPr id="14" name="Chart 13">
          <a:extLst>
            <a:ext uri="{FF2B5EF4-FFF2-40B4-BE49-F238E27FC236}">
              <a16:creationId xmlns:a16="http://schemas.microsoft.com/office/drawing/2014/main" id="{204D5A9A-D68B-4D45-8913-5E00122FD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xdr:colOff>
      <xdr:row>17</xdr:row>
      <xdr:rowOff>66674</xdr:rowOff>
    </xdr:from>
    <xdr:to>
      <xdr:col>20</xdr:col>
      <xdr:colOff>314325</xdr:colOff>
      <xdr:row>33</xdr:row>
      <xdr:rowOff>114299</xdr:rowOff>
    </xdr:to>
    <xdr:graphicFrame macro="">
      <xdr:nvGraphicFramePr>
        <xdr:cNvPr id="15" name="Chart 14">
          <a:extLst>
            <a:ext uri="{FF2B5EF4-FFF2-40B4-BE49-F238E27FC236}">
              <a16:creationId xmlns:a16="http://schemas.microsoft.com/office/drawing/2014/main" id="{B504083B-9E0E-4DE6-AC93-D214E6F6F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409575</xdr:colOff>
      <xdr:row>19</xdr:row>
      <xdr:rowOff>76200</xdr:rowOff>
    </xdr:from>
    <xdr:to>
      <xdr:col>3</xdr:col>
      <xdr:colOff>561975</xdr:colOff>
      <xdr:row>27</xdr:row>
      <xdr:rowOff>76200</xdr:rowOff>
    </xdr:to>
    <mc:AlternateContent xmlns:mc="http://schemas.openxmlformats.org/markup-compatibility/2006">
      <mc:Choice xmlns:tsle="http://schemas.microsoft.com/office/drawing/2012/timeslicer" Requires="tsle">
        <xdr:graphicFrame macro="">
          <xdr:nvGraphicFramePr>
            <xdr:cNvPr id="16" name="Date 1">
              <a:extLst>
                <a:ext uri="{FF2B5EF4-FFF2-40B4-BE49-F238E27FC236}">
                  <a16:creationId xmlns:a16="http://schemas.microsoft.com/office/drawing/2014/main" id="{13E60D88-EA2B-45C5-BA53-7063F26B42F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409575" y="3333750"/>
              <a:ext cx="1981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409574</xdr:colOff>
      <xdr:row>29</xdr:row>
      <xdr:rowOff>47625</xdr:rowOff>
    </xdr:from>
    <xdr:to>
      <xdr:col>3</xdr:col>
      <xdr:colOff>571499</xdr:colOff>
      <xdr:row>40</xdr:row>
      <xdr:rowOff>59055</xdr:rowOff>
    </xdr:to>
    <mc:AlternateContent xmlns:mc="http://schemas.openxmlformats.org/markup-compatibility/2006">
      <mc:Choice xmlns:a14="http://schemas.microsoft.com/office/drawing/2010/main" Requires="a14">
        <xdr:graphicFrame macro="">
          <xdr:nvGraphicFramePr>
            <xdr:cNvPr id="17" name="Brand 1">
              <a:extLst>
                <a:ext uri="{FF2B5EF4-FFF2-40B4-BE49-F238E27FC236}">
                  <a16:creationId xmlns:a16="http://schemas.microsoft.com/office/drawing/2014/main" id="{F543C796-D31C-4E4E-AC4A-D7D595DA196A}"/>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409574" y="5019675"/>
              <a:ext cx="1990725"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409575</xdr:colOff>
      <xdr:row>36</xdr:row>
      <xdr:rowOff>47625</xdr:rowOff>
    </xdr:from>
    <xdr:to>
      <xdr:col>12</xdr:col>
      <xdr:colOff>104775</xdr:colOff>
      <xdr:row>52</xdr:row>
      <xdr:rowOff>47625</xdr:rowOff>
    </xdr:to>
    <xdr:graphicFrame macro="">
      <xdr:nvGraphicFramePr>
        <xdr:cNvPr id="19" name="Chart 18">
          <a:extLst>
            <a:ext uri="{FF2B5EF4-FFF2-40B4-BE49-F238E27FC236}">
              <a16:creationId xmlns:a16="http://schemas.microsoft.com/office/drawing/2014/main" id="{01C82E23-C38A-426E-940A-9DFBFA83A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123825</xdr:colOff>
      <xdr:row>6</xdr:row>
      <xdr:rowOff>142875</xdr:rowOff>
    </xdr:from>
    <xdr:to>
      <xdr:col>28</xdr:col>
      <xdr:colOff>542925</xdr:colOff>
      <xdr:row>13</xdr:row>
      <xdr:rowOff>142875</xdr:rowOff>
    </xdr:to>
    <xdr:sp macro="" textlink="">
      <xdr:nvSpPr>
        <xdr:cNvPr id="20" name="Rectangle: Diagonal Corners Rounded 19">
          <a:extLst>
            <a:ext uri="{FF2B5EF4-FFF2-40B4-BE49-F238E27FC236}">
              <a16:creationId xmlns:a16="http://schemas.microsoft.com/office/drawing/2014/main" id="{83051F4B-A7BE-4DF1-8686-D436AFEBAE16}"/>
            </a:ext>
          </a:extLst>
        </xdr:cNvPr>
        <xdr:cNvSpPr/>
      </xdr:nvSpPr>
      <xdr:spPr>
        <a:xfrm>
          <a:off x="15363825" y="1171575"/>
          <a:ext cx="2247900" cy="1200150"/>
        </a:xfrm>
        <a:prstGeom prst="round2DiagRect">
          <a:avLst/>
        </a:prstGeom>
        <a:solidFill>
          <a:srgbClr val="E1EDFB"/>
        </a:solidFill>
        <a:ln>
          <a:noFill/>
        </a:ln>
        <a:effectLst>
          <a:outerShdw blurRad="44450" dist="27940" dir="5400000" algn="ctr">
            <a:srgbClr val="000000">
              <a:alpha val="32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800" b="1">
              <a:solidFill>
                <a:schemeClr val="accent2">
                  <a:lumMod val="75000"/>
                </a:schemeClr>
              </a:solidFill>
            </a:rPr>
            <a:t>Sales</a:t>
          </a:r>
          <a:r>
            <a:rPr lang="en-IN" sz="1800" b="1" baseline="0">
              <a:solidFill>
                <a:schemeClr val="accent2">
                  <a:lumMod val="75000"/>
                </a:schemeClr>
              </a:solidFill>
            </a:rPr>
            <a:t> </a:t>
          </a:r>
          <a:r>
            <a:rPr lang="en-IN" sz="1800" b="1">
              <a:solidFill>
                <a:schemeClr val="accent2">
                  <a:lumMod val="75000"/>
                </a:schemeClr>
              </a:solidFill>
            </a:rPr>
            <a:t>Channel</a:t>
          </a:r>
          <a:endParaRPr lang="en-IN" sz="1400" b="1" baseline="0">
            <a:solidFill>
              <a:sysClr val="windowText" lastClr="000000"/>
            </a:solidFill>
          </a:endParaRPr>
        </a:p>
        <a:p>
          <a:pPr algn="ctr"/>
          <a:endParaRPr lang="en-IN" sz="1400" b="1" i="0" u="none" strike="noStrike" baseline="0">
            <a:solidFill>
              <a:sysClr val="windowText" lastClr="000000"/>
            </a:solidFill>
            <a:effectLst/>
            <a:latin typeface="+mn-lt"/>
            <a:ea typeface="+mn-ea"/>
            <a:cs typeface="+mn-cs"/>
          </a:endParaRPr>
        </a:p>
        <a:p>
          <a:pPr algn="ctr"/>
          <a:r>
            <a:rPr lang="en-IN" sz="2400" b="1" i="0" u="none" strike="noStrike">
              <a:solidFill>
                <a:schemeClr val="accent2">
                  <a:lumMod val="75000"/>
                </a:schemeClr>
              </a:solidFill>
              <a:effectLst/>
              <a:latin typeface="+mn-lt"/>
              <a:ea typeface="+mn-ea"/>
              <a:cs typeface="+mn-cs"/>
            </a:rPr>
            <a:t>3</a:t>
          </a:r>
          <a:r>
            <a:rPr lang="en-IN" sz="3200">
              <a:solidFill>
                <a:schemeClr val="accent2">
                  <a:lumMod val="75000"/>
                </a:schemeClr>
              </a:solidFill>
              <a:effectLst/>
            </a:rPr>
            <a:t> </a:t>
          </a:r>
          <a:endParaRPr lang="en-IN" sz="4400" b="1" baseline="0">
            <a:solidFill>
              <a:schemeClr val="accent2">
                <a:lumMod val="75000"/>
              </a:schemeClr>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ctr"/>
          <a:endParaRPr lang="en-IN" sz="2000" b="1" baseline="0">
            <a:solidFill>
              <a:sysClr val="windowText" lastClr="000000"/>
            </a:solidFill>
          </a:endParaRPr>
        </a:p>
        <a:p>
          <a:pPr algn="l"/>
          <a:endParaRPr lang="en-IN" sz="1100" baseline="0">
            <a:solidFill>
              <a:sysClr val="windowText" lastClr="000000"/>
            </a:solidFill>
          </a:endParaRPr>
        </a:p>
        <a:p>
          <a:pPr algn="l"/>
          <a:endParaRPr lang="en-IN"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495300</xdr:colOff>
      <xdr:row>1</xdr:row>
      <xdr:rowOff>99060</xdr:rowOff>
    </xdr:from>
    <xdr:to>
      <xdr:col>10</xdr:col>
      <xdr:colOff>175260</xdr:colOff>
      <xdr:row>5</xdr:row>
      <xdr:rowOff>15240</xdr:rowOff>
    </xdr:to>
    <xdr:sp macro="" textlink="">
      <xdr:nvSpPr>
        <xdr:cNvPr id="2" name="Rectangle: Rounded Corners 1">
          <a:extLst>
            <a:ext uri="{FF2B5EF4-FFF2-40B4-BE49-F238E27FC236}">
              <a16:creationId xmlns:a16="http://schemas.microsoft.com/office/drawing/2014/main" id="{9BF165DC-3EDC-1213-BA48-3E8990F43CCC}"/>
            </a:ext>
          </a:extLst>
        </xdr:cNvPr>
        <xdr:cNvSpPr/>
      </xdr:nvSpPr>
      <xdr:spPr>
        <a:xfrm>
          <a:off x="929640" y="266700"/>
          <a:ext cx="6568440" cy="5867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2"/>
              </a:solidFill>
            </a:rPr>
            <a:t>Top</a:t>
          </a:r>
          <a:r>
            <a:rPr lang="en-IN" sz="3200" b="1" baseline="0">
              <a:solidFill>
                <a:schemeClr val="bg2"/>
              </a:solidFill>
            </a:rPr>
            <a:t> 10 Customer</a:t>
          </a:r>
          <a:endParaRPr lang="en-IN" sz="3200" b="1">
            <a:solidFill>
              <a:schemeClr val="bg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2</xdr:row>
      <xdr:rowOff>7620</xdr:rowOff>
    </xdr:from>
    <xdr:to>
      <xdr:col>10</xdr:col>
      <xdr:colOff>327660</xdr:colOff>
      <xdr:row>18</xdr:row>
      <xdr:rowOff>68580</xdr:rowOff>
    </xdr:to>
    <xdr:graphicFrame macro="">
      <xdr:nvGraphicFramePr>
        <xdr:cNvPr id="2" name="Chart 1">
          <a:extLst>
            <a:ext uri="{FF2B5EF4-FFF2-40B4-BE49-F238E27FC236}">
              <a16:creationId xmlns:a16="http://schemas.microsoft.com/office/drawing/2014/main" id="{1ACA0E8F-85E5-BAD3-F079-1571AA5D1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283285</xdr:colOff>
      <xdr:row>11</xdr:row>
      <xdr:rowOff>118334</xdr:rowOff>
    </xdr:from>
    <xdr:to>
      <xdr:col>1</xdr:col>
      <xdr:colOff>1152861</xdr:colOff>
      <xdr:row>24</xdr:row>
      <xdr:rowOff>142427</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3D31D895-4328-9F14-B945-3FAA58383D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3285" y="1991958"/>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2</xdr:row>
      <xdr:rowOff>0</xdr:rowOff>
    </xdr:from>
    <xdr:to>
      <xdr:col>10</xdr:col>
      <xdr:colOff>289560</xdr:colOff>
      <xdr:row>18</xdr:row>
      <xdr:rowOff>60960</xdr:rowOff>
    </xdr:to>
    <xdr:graphicFrame macro="">
      <xdr:nvGraphicFramePr>
        <xdr:cNvPr id="2" name="Chart 1">
          <a:extLst>
            <a:ext uri="{FF2B5EF4-FFF2-40B4-BE49-F238E27FC236}">
              <a16:creationId xmlns:a16="http://schemas.microsoft.com/office/drawing/2014/main" id="{2BEEEFA5-438F-8032-C660-531BC4B1D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3</xdr:row>
      <xdr:rowOff>45720</xdr:rowOff>
    </xdr:from>
    <xdr:to>
      <xdr:col>10</xdr:col>
      <xdr:colOff>495300</xdr:colOff>
      <xdr:row>19</xdr:row>
      <xdr:rowOff>106680</xdr:rowOff>
    </xdr:to>
    <xdr:graphicFrame macro="">
      <xdr:nvGraphicFramePr>
        <xdr:cNvPr id="2" name="Chart 1">
          <a:extLst>
            <a:ext uri="{FF2B5EF4-FFF2-40B4-BE49-F238E27FC236}">
              <a16:creationId xmlns:a16="http://schemas.microsoft.com/office/drawing/2014/main" id="{2E561C4E-4C09-288C-BCDD-AC7FDC943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xdr:colOff>
      <xdr:row>0</xdr:row>
      <xdr:rowOff>160020</xdr:rowOff>
    </xdr:from>
    <xdr:to>
      <xdr:col>10</xdr:col>
      <xdr:colOff>320040</xdr:colOff>
      <xdr:row>17</xdr:row>
      <xdr:rowOff>53340</xdr:rowOff>
    </xdr:to>
    <xdr:graphicFrame macro="">
      <xdr:nvGraphicFramePr>
        <xdr:cNvPr id="2" name="Chart 1">
          <a:extLst>
            <a:ext uri="{FF2B5EF4-FFF2-40B4-BE49-F238E27FC236}">
              <a16:creationId xmlns:a16="http://schemas.microsoft.com/office/drawing/2014/main" id="{0DEC1703-95D3-D41C-C88D-46E3E3CDE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480060</xdr:colOff>
      <xdr:row>9</xdr:row>
      <xdr:rowOff>152401</xdr:rowOff>
    </xdr:from>
    <xdr:to>
      <xdr:col>2</xdr:col>
      <xdr:colOff>0</xdr:colOff>
      <xdr:row>21</xdr:row>
      <xdr:rowOff>38101</xdr:rowOff>
    </xdr:to>
    <mc:AlternateContent xmlns:mc="http://schemas.openxmlformats.org/markup-compatibility/2006">
      <mc:Choice xmlns:a14="http://schemas.microsoft.com/office/drawing/2010/main" Requires="a14">
        <xdr:graphicFrame macro="">
          <xdr:nvGraphicFramePr>
            <xdr:cNvPr id="3" name="Brand">
              <a:extLst>
                <a:ext uri="{FF2B5EF4-FFF2-40B4-BE49-F238E27FC236}">
                  <a16:creationId xmlns:a16="http://schemas.microsoft.com/office/drawing/2014/main" id="{6258AE4B-A588-A55C-D38A-4A433E68E4F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480060" y="1661161"/>
              <a:ext cx="18288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853440</xdr:colOff>
      <xdr:row>2</xdr:row>
      <xdr:rowOff>22860</xdr:rowOff>
    </xdr:from>
    <xdr:to>
      <xdr:col>10</xdr:col>
      <xdr:colOff>373380</xdr:colOff>
      <xdr:row>18</xdr:row>
      <xdr:rowOff>83820</xdr:rowOff>
    </xdr:to>
    <xdr:graphicFrame macro="">
      <xdr:nvGraphicFramePr>
        <xdr:cNvPr id="3" name="Chart 2">
          <a:extLst>
            <a:ext uri="{FF2B5EF4-FFF2-40B4-BE49-F238E27FC236}">
              <a16:creationId xmlns:a16="http://schemas.microsoft.com/office/drawing/2014/main" id="{9F5E6C13-2ED5-11C4-59AB-29234F616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0</xdr:rowOff>
    </xdr:from>
    <xdr:to>
      <xdr:col>2</xdr:col>
      <xdr:colOff>1242060</xdr:colOff>
      <xdr:row>21</xdr:row>
      <xdr:rowOff>30480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00333606-3B20-BE50-CC24-9CAE8731C05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21793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510540</xdr:colOff>
      <xdr:row>2</xdr:row>
      <xdr:rowOff>15240</xdr:rowOff>
    </xdr:from>
    <xdr:to>
      <xdr:col>10</xdr:col>
      <xdr:colOff>30480</xdr:colOff>
      <xdr:row>18</xdr:row>
      <xdr:rowOff>76200</xdr:rowOff>
    </xdr:to>
    <xdr:graphicFrame macro="">
      <xdr:nvGraphicFramePr>
        <xdr:cNvPr id="2" name="Chart 1">
          <a:extLst>
            <a:ext uri="{FF2B5EF4-FFF2-40B4-BE49-F238E27FC236}">
              <a16:creationId xmlns:a16="http://schemas.microsoft.com/office/drawing/2014/main" id="{2D2DC276-9FB6-1B33-A9F8-D3F060C42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147.50620787037" createdVersion="8" refreshedVersion="8" minRefreshableVersion="3" recordCount="1000" xr:uid="{54C005F7-582B-4A9A-A18A-EF7C19DE4A44}">
  <cacheSource type="worksheet">
    <worksheetSource name="Table2"/>
  </cacheSource>
  <cacheFields count="16">
    <cacheField name="Sale_ID" numFmtId="0">
      <sharedItems count="1000">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haredItems>
    </cacheField>
    <cacheField name="Date" numFmtId="164">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cacheField>
    <cacheField name="Brand" numFmtId="0">
      <sharedItems count="6">
        <s v="Nike"/>
        <s v="Skechers"/>
        <s v="New Balance"/>
        <s v="Adidas"/>
        <s v="Puma"/>
        <s v="Reebok"/>
      </sharedItems>
    </cacheField>
    <cacheField name="Shoe_Type" numFmtId="0">
      <sharedItems/>
    </cacheField>
    <cacheField name="Color" numFmtId="0">
      <sharedItems count="6">
        <s v="Blue"/>
        <s v="Grey"/>
        <s v="White"/>
        <s v="Green"/>
        <s v="Red"/>
        <s v="Black"/>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0">
      <sharedItems containsSemiMixedTypes="0" containsString="0" containsNumber="1" minValue="32.380000000000003" maxValue="4938.3999999999996"/>
    </cacheField>
    <cacheField name="Month" numFmtId="0">
      <sharedItems count="12">
        <s v="Nov"/>
        <s v="Mar"/>
        <s v="Aug"/>
        <s v="Oct"/>
        <s v="Feb"/>
        <s v="Jul"/>
        <s v="May"/>
        <s v="Jun"/>
        <s v="Dec"/>
        <s v="Sep"/>
        <s v="Apr"/>
        <s v="Jan"/>
      </sharedItems>
    </cacheField>
    <cacheField name="High Value Sale" numFmtId="0">
      <sharedItems/>
    </cacheField>
    <cacheField name="Performance Category" numFmtId="0">
      <sharedItems/>
    </cacheField>
    <cacheField name="Growth" numFmtId="0">
      <sharedItems containsSemiMixedTypes="0" containsString="0" containsNumber="1" minValue="-4742.66" maxValue="4191.8999999999996"/>
    </cacheField>
    <cacheField name="Discount" numFmtId="9">
      <sharedItems containsSemiMixedTypes="0" containsString="0" containsNumber="1" minValue="0.1" maxValue="0.5"/>
    </cacheField>
    <cacheField name="Adjust revenue" numFmtId="0">
      <sharedItems containsSemiMixedTypes="0" containsString="0" containsNumber="1" minValue="29.142000000000003" maxValue="4444.5599999999995"/>
    </cacheField>
  </cacheFields>
  <extLst>
    <ext xmlns:x14="http://schemas.microsoft.com/office/spreadsheetml/2009/9/main" uri="{725AE2AE-9491-48be-B2B4-4EB974FC3084}">
      <x14:pivotCacheDefinition pivotCacheId="16188525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147.653023726853" createdVersion="8" refreshedVersion="8" minRefreshableVersion="3" recordCount="1000" xr:uid="{1A678DD5-02AC-4D17-9C1B-0A031FF2363C}">
  <cacheSource type="worksheet">
    <worksheetSource name="Table2"/>
  </cacheSource>
  <cacheFields count="16">
    <cacheField name="Sale_ID" numFmtId="0">
      <sharedItems count="1000">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haredItems>
    </cacheField>
    <cacheField name="Date" numFmtId="164">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cacheField>
    <cacheField name="Brand" numFmtId="0">
      <sharedItems count="6">
        <s v="Nike"/>
        <s v="Skechers"/>
        <s v="New Balance"/>
        <s v="Adidas"/>
        <s v="Puma"/>
        <s v="Reebok"/>
      </sharedItems>
    </cacheField>
    <cacheField name="Shoe_Type" numFmtId="0">
      <sharedItems/>
    </cacheField>
    <cacheField name="Color" numFmtId="0">
      <sharedItems/>
    </cacheField>
    <cacheField name="Country" numFmtId="0">
      <sharedItems/>
    </cacheField>
    <cacheField name="Sales_Channel" numFmtId="0">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0">
      <sharedItems containsSemiMixedTypes="0" containsString="0" containsNumber="1" minValue="32.380000000000003" maxValue="4938.3999999999996"/>
    </cacheField>
    <cacheField name="Month" numFmtId="0">
      <sharedItems/>
    </cacheField>
    <cacheField name="High Value Sale" numFmtId="0">
      <sharedItems/>
    </cacheField>
    <cacheField name="Performance Category" numFmtId="0">
      <sharedItems/>
    </cacheField>
    <cacheField name="Growth" numFmtId="0">
      <sharedItems containsSemiMixedTypes="0" containsString="0" containsNumber="1" minValue="-4742.66" maxValue="4191.8999999999996"/>
    </cacheField>
    <cacheField name="Discount" numFmtId="9">
      <sharedItems containsSemiMixedTypes="0" containsString="0" containsNumber="1" minValue="0.1" maxValue="0.5"/>
    </cacheField>
    <cacheField name="Adjust revenue" numFmtId="0">
      <sharedItems containsSemiMixedTypes="0" containsString="0" containsNumber="1" minValue="29.142000000000003" maxValue="4444.5599999999995"/>
    </cacheField>
  </cacheFields>
  <extLst>
    <ext xmlns:x14="http://schemas.microsoft.com/office/spreadsheetml/2009/9/main" uri="{725AE2AE-9491-48be-B2B4-4EB974FC3084}">
      <x14:pivotCacheDefinition pivotCacheId="1432272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Boots"/>
    <x v="0"/>
    <x v="0"/>
    <x v="0"/>
    <n v="112.4"/>
    <n v="4"/>
    <n v="449.6"/>
    <x v="0"/>
    <s v="Low"/>
    <s v="Low"/>
    <n v="0"/>
    <n v="0.5"/>
    <n v="224.8"/>
  </r>
  <r>
    <x v="1"/>
    <x v="1"/>
    <x v="1"/>
    <s v="Boots"/>
    <x v="1"/>
    <x v="1"/>
    <x v="1"/>
    <n v="239.16"/>
    <n v="4"/>
    <n v="956.64"/>
    <x v="1"/>
    <s v="Low"/>
    <s v="Average"/>
    <n v="507.03999999999996"/>
    <n v="0.2"/>
    <n v="765.31200000000001"/>
  </r>
  <r>
    <x v="2"/>
    <x v="2"/>
    <x v="0"/>
    <s v="Running"/>
    <x v="2"/>
    <x v="0"/>
    <x v="1"/>
    <n v="191.04"/>
    <n v="2"/>
    <n v="382.08"/>
    <x v="2"/>
    <s v="Low"/>
    <s v="Low"/>
    <n v="-574.55999999999995"/>
    <n v="0.1"/>
    <n v="343.87200000000001"/>
  </r>
  <r>
    <x v="3"/>
    <x v="3"/>
    <x v="2"/>
    <s v="Casual"/>
    <x v="3"/>
    <x v="2"/>
    <x v="1"/>
    <n v="161.69999999999999"/>
    <n v="1"/>
    <n v="161.69999999999999"/>
    <x v="0"/>
    <s v="Low"/>
    <s v="Low"/>
    <n v="-220.38"/>
    <n v="0.1"/>
    <n v="145.53"/>
  </r>
  <r>
    <x v="4"/>
    <x v="4"/>
    <x v="3"/>
    <s v="Formal"/>
    <x v="1"/>
    <x v="3"/>
    <x v="0"/>
    <n v="64.319999999999993"/>
    <n v="14"/>
    <n v="900.48"/>
    <x v="3"/>
    <s v="Low"/>
    <s v="Average"/>
    <n v="738.78"/>
    <n v="0.1"/>
    <n v="810.43200000000002"/>
  </r>
  <r>
    <x v="5"/>
    <x v="5"/>
    <x v="4"/>
    <s v="Sports"/>
    <x v="2"/>
    <x v="0"/>
    <x v="2"/>
    <n v="64.319999999999993"/>
    <n v="14"/>
    <n v="900.48"/>
    <x v="1"/>
    <s v="Low"/>
    <s v="Average"/>
    <n v="0"/>
    <n v="0.1"/>
    <n v="810.43200000000002"/>
  </r>
  <r>
    <x v="6"/>
    <x v="6"/>
    <x v="5"/>
    <s v="Running"/>
    <x v="0"/>
    <x v="4"/>
    <x v="2"/>
    <n v="42.78"/>
    <n v="3"/>
    <n v="128.34"/>
    <x v="4"/>
    <s v="Low"/>
    <s v="Low"/>
    <n v="-772.14"/>
    <n v="0.1"/>
    <n v="115.506"/>
  </r>
  <r>
    <x v="7"/>
    <x v="7"/>
    <x v="0"/>
    <s v="Boots"/>
    <x v="4"/>
    <x v="5"/>
    <x v="0"/>
    <n v="220.56"/>
    <n v="9"/>
    <n v="1985.04"/>
    <x v="0"/>
    <s v="Low"/>
    <s v="Good"/>
    <n v="1856.7"/>
    <n v="0.1"/>
    <n v="1786.5360000000001"/>
  </r>
  <r>
    <x v="8"/>
    <x v="8"/>
    <x v="2"/>
    <s v="Sports"/>
    <x v="3"/>
    <x v="5"/>
    <x v="2"/>
    <n v="162.25"/>
    <n v="3"/>
    <n v="486.75"/>
    <x v="5"/>
    <s v="Low"/>
    <s v="Low"/>
    <n v="-1498.29"/>
    <n v="0.1"/>
    <n v="438.07499999999999"/>
  </r>
  <r>
    <x v="9"/>
    <x v="9"/>
    <x v="1"/>
    <s v="Running"/>
    <x v="5"/>
    <x v="2"/>
    <x v="0"/>
    <n v="185.78"/>
    <n v="7"/>
    <n v="1300.46"/>
    <x v="3"/>
    <s v="Low"/>
    <s v="Average"/>
    <n v="813.71"/>
    <n v="0.1"/>
    <n v="1170.414"/>
  </r>
  <r>
    <x v="10"/>
    <x v="10"/>
    <x v="3"/>
    <s v="Running"/>
    <x v="4"/>
    <x v="3"/>
    <x v="2"/>
    <n v="34.53"/>
    <n v="3"/>
    <n v="103.59"/>
    <x v="6"/>
    <s v="Low"/>
    <s v="Low"/>
    <n v="-1196.8700000000001"/>
    <n v="0.1"/>
    <n v="93.231000000000009"/>
  </r>
  <r>
    <x v="11"/>
    <x v="11"/>
    <x v="3"/>
    <s v="Sports"/>
    <x v="0"/>
    <x v="0"/>
    <x v="1"/>
    <n v="243.38"/>
    <n v="12"/>
    <n v="2920.56"/>
    <x v="0"/>
    <s v="High"/>
    <s v="Good"/>
    <n v="2816.97"/>
    <n v="0.1"/>
    <n v="2628.5039999999999"/>
  </r>
  <r>
    <x v="12"/>
    <x v="12"/>
    <x v="2"/>
    <s v="Boots"/>
    <x v="2"/>
    <x v="5"/>
    <x v="1"/>
    <n v="213.14"/>
    <n v="3"/>
    <n v="639.41999999999996"/>
    <x v="6"/>
    <s v="Low"/>
    <s v="Average"/>
    <n v="-2281.14"/>
    <n v="0.1"/>
    <n v="575.47799999999995"/>
  </r>
  <r>
    <x v="13"/>
    <x v="13"/>
    <x v="5"/>
    <s v="Formal"/>
    <x v="0"/>
    <x v="2"/>
    <x v="1"/>
    <n v="76.709999999999994"/>
    <n v="6"/>
    <n v="460.26"/>
    <x v="6"/>
    <s v="Low"/>
    <s v="Low"/>
    <n v="-179.15999999999997"/>
    <n v="0.1"/>
    <n v="414.23399999999998"/>
  </r>
  <r>
    <x v="14"/>
    <x v="14"/>
    <x v="1"/>
    <s v="Sports"/>
    <x v="5"/>
    <x v="0"/>
    <x v="0"/>
    <n v="70"/>
    <n v="8"/>
    <n v="560"/>
    <x v="3"/>
    <s v="Low"/>
    <s v="Average"/>
    <n v="99.740000000000009"/>
    <n v="0.1"/>
    <n v="504"/>
  </r>
  <r>
    <x v="15"/>
    <x v="15"/>
    <x v="4"/>
    <s v="Running"/>
    <x v="2"/>
    <x v="5"/>
    <x v="1"/>
    <n v="70.349999999999994"/>
    <n v="13"/>
    <n v="914.55"/>
    <x v="7"/>
    <s v="Low"/>
    <s v="Average"/>
    <n v="354.54999999999995"/>
    <n v="0.1"/>
    <n v="823.09500000000003"/>
  </r>
  <r>
    <x v="16"/>
    <x v="15"/>
    <x v="1"/>
    <s v="Formal"/>
    <x v="4"/>
    <x v="2"/>
    <x v="2"/>
    <n v="96.93"/>
    <n v="7"/>
    <n v="678.51"/>
    <x v="7"/>
    <s v="Low"/>
    <s v="Average"/>
    <n v="-236.03999999999996"/>
    <n v="0.1"/>
    <n v="610.65899999999999"/>
  </r>
  <r>
    <x v="17"/>
    <x v="16"/>
    <x v="3"/>
    <s v="Casual"/>
    <x v="3"/>
    <x v="5"/>
    <x v="1"/>
    <n v="145.44999999999999"/>
    <n v="9"/>
    <n v="1309.05"/>
    <x v="1"/>
    <s v="Low"/>
    <s v="Average"/>
    <n v="630.54"/>
    <n v="0.1"/>
    <n v="1178.145"/>
  </r>
  <r>
    <x v="18"/>
    <x v="17"/>
    <x v="5"/>
    <s v="Sneakers"/>
    <x v="4"/>
    <x v="3"/>
    <x v="0"/>
    <n v="125.03"/>
    <n v="19"/>
    <n v="2375.5700000000002"/>
    <x v="6"/>
    <s v="High"/>
    <s v="Good"/>
    <n v="1066.5200000000002"/>
    <n v="0.1"/>
    <n v="2138.0130000000004"/>
  </r>
  <r>
    <x v="19"/>
    <x v="18"/>
    <x v="5"/>
    <s v="Running"/>
    <x v="5"/>
    <x v="4"/>
    <x v="0"/>
    <n v="94.07"/>
    <n v="17"/>
    <n v="1599.19"/>
    <x v="1"/>
    <s v="Low"/>
    <s v="Good"/>
    <n v="-776.38000000000011"/>
    <n v="0.1"/>
    <n v="1439.2710000000002"/>
  </r>
  <r>
    <x v="20"/>
    <x v="19"/>
    <x v="1"/>
    <s v="Formal"/>
    <x v="1"/>
    <x v="1"/>
    <x v="2"/>
    <n v="164.61"/>
    <n v="6"/>
    <n v="987.66"/>
    <x v="1"/>
    <s v="Low"/>
    <s v="Average"/>
    <n v="-611.53000000000009"/>
    <n v="0.1"/>
    <n v="888.89400000000001"/>
  </r>
  <r>
    <x v="21"/>
    <x v="20"/>
    <x v="5"/>
    <s v="Sneakers"/>
    <x v="0"/>
    <x v="5"/>
    <x v="0"/>
    <n v="60.69"/>
    <n v="20"/>
    <n v="1213.8"/>
    <x v="5"/>
    <s v="Low"/>
    <s v="Average"/>
    <n v="226.14"/>
    <n v="0.1"/>
    <n v="1092.42"/>
  </r>
  <r>
    <x v="22"/>
    <x v="21"/>
    <x v="1"/>
    <s v="Sneakers"/>
    <x v="0"/>
    <x v="4"/>
    <x v="1"/>
    <n v="94.27"/>
    <n v="4"/>
    <n v="377.08"/>
    <x v="8"/>
    <s v="Low"/>
    <s v="Low"/>
    <n v="-836.72"/>
    <n v="0.1"/>
    <n v="339.37200000000001"/>
  </r>
  <r>
    <x v="23"/>
    <x v="22"/>
    <x v="4"/>
    <s v="Formal"/>
    <x v="2"/>
    <x v="6"/>
    <x v="0"/>
    <n v="110.6"/>
    <n v="4"/>
    <n v="442.4"/>
    <x v="7"/>
    <s v="Low"/>
    <s v="Low"/>
    <n v="65.319999999999993"/>
    <n v="0.1"/>
    <n v="398.15999999999997"/>
  </r>
  <r>
    <x v="24"/>
    <x v="17"/>
    <x v="3"/>
    <s v="Sneakers"/>
    <x v="5"/>
    <x v="4"/>
    <x v="1"/>
    <n v="130.34"/>
    <n v="17"/>
    <n v="2215.7800000000002"/>
    <x v="6"/>
    <s v="High"/>
    <s v="Good"/>
    <n v="1773.38"/>
    <n v="0.1"/>
    <n v="1994.2020000000002"/>
  </r>
  <r>
    <x v="25"/>
    <x v="23"/>
    <x v="2"/>
    <s v="Casual"/>
    <x v="2"/>
    <x v="3"/>
    <x v="0"/>
    <n v="202.74"/>
    <n v="17"/>
    <n v="3446.58"/>
    <x v="7"/>
    <s v="High"/>
    <s v="Excellent"/>
    <n v="1230.7999999999997"/>
    <n v="0.1"/>
    <n v="3101.922"/>
  </r>
  <r>
    <x v="26"/>
    <x v="24"/>
    <x v="0"/>
    <s v="Sneakers"/>
    <x v="0"/>
    <x v="6"/>
    <x v="0"/>
    <n v="73.930000000000007"/>
    <n v="17"/>
    <n v="1256.81"/>
    <x v="3"/>
    <s v="Low"/>
    <s v="Average"/>
    <n v="-2189.77"/>
    <n v="0.1"/>
    <n v="1131.1289999999999"/>
  </r>
  <r>
    <x v="27"/>
    <x v="25"/>
    <x v="4"/>
    <s v="Casual"/>
    <x v="5"/>
    <x v="0"/>
    <x v="1"/>
    <n v="143.13"/>
    <n v="12"/>
    <n v="1717.56"/>
    <x v="4"/>
    <s v="Low"/>
    <s v="Good"/>
    <n v="460.75"/>
    <n v="0.1"/>
    <n v="1545.8040000000001"/>
  </r>
  <r>
    <x v="28"/>
    <x v="26"/>
    <x v="1"/>
    <s v="Formal"/>
    <x v="5"/>
    <x v="4"/>
    <x v="1"/>
    <n v="160.33000000000001"/>
    <n v="3"/>
    <n v="480.99"/>
    <x v="4"/>
    <s v="Low"/>
    <s v="Low"/>
    <n v="-1236.57"/>
    <n v="0.1"/>
    <n v="432.89100000000002"/>
  </r>
  <r>
    <x v="29"/>
    <x v="27"/>
    <x v="1"/>
    <s v="Formal"/>
    <x v="1"/>
    <x v="0"/>
    <x v="2"/>
    <n v="40.22"/>
    <n v="5"/>
    <n v="201.1"/>
    <x v="1"/>
    <s v="Low"/>
    <s v="Low"/>
    <n v="-279.89"/>
    <n v="0.1"/>
    <n v="180.99"/>
  </r>
  <r>
    <x v="30"/>
    <x v="28"/>
    <x v="5"/>
    <s v="Casual"/>
    <x v="1"/>
    <x v="4"/>
    <x v="1"/>
    <n v="163.66"/>
    <n v="20"/>
    <n v="3273.2"/>
    <x v="9"/>
    <s v="High"/>
    <s v="Excellent"/>
    <n v="3072.1"/>
    <n v="0.1"/>
    <n v="2945.88"/>
  </r>
  <r>
    <x v="31"/>
    <x v="29"/>
    <x v="1"/>
    <s v="Sports"/>
    <x v="4"/>
    <x v="2"/>
    <x v="1"/>
    <n v="67.52"/>
    <n v="7"/>
    <n v="472.64"/>
    <x v="8"/>
    <s v="Low"/>
    <s v="Low"/>
    <n v="-2800.56"/>
    <n v="0.1"/>
    <n v="425.37599999999998"/>
  </r>
  <r>
    <x v="32"/>
    <x v="30"/>
    <x v="2"/>
    <s v="Formal"/>
    <x v="5"/>
    <x v="0"/>
    <x v="0"/>
    <n v="44.31"/>
    <n v="15"/>
    <n v="664.65"/>
    <x v="5"/>
    <s v="Low"/>
    <s v="Average"/>
    <n v="192.01"/>
    <n v="0.1"/>
    <n v="598.18499999999995"/>
  </r>
  <r>
    <x v="33"/>
    <x v="31"/>
    <x v="0"/>
    <s v="Sneakers"/>
    <x v="1"/>
    <x v="0"/>
    <x v="1"/>
    <n v="238.75"/>
    <n v="11"/>
    <n v="2626.25"/>
    <x v="4"/>
    <s v="High"/>
    <s v="Good"/>
    <n v="1961.6"/>
    <n v="0.1"/>
    <n v="2363.625"/>
  </r>
  <r>
    <x v="34"/>
    <x v="32"/>
    <x v="0"/>
    <s v="Boots"/>
    <x v="3"/>
    <x v="1"/>
    <x v="0"/>
    <n v="242.44"/>
    <n v="1"/>
    <n v="242.44"/>
    <x v="10"/>
    <s v="Low"/>
    <s v="Low"/>
    <n v="-2383.81"/>
    <n v="0.1"/>
    <n v="218.196"/>
  </r>
  <r>
    <x v="35"/>
    <x v="33"/>
    <x v="4"/>
    <s v="Running"/>
    <x v="1"/>
    <x v="0"/>
    <x v="2"/>
    <n v="207.85"/>
    <n v="2"/>
    <n v="415.7"/>
    <x v="4"/>
    <s v="Low"/>
    <s v="Low"/>
    <n v="173.26"/>
    <n v="0.1"/>
    <n v="374.13"/>
  </r>
  <r>
    <x v="36"/>
    <x v="34"/>
    <x v="3"/>
    <s v="Sneakers"/>
    <x v="2"/>
    <x v="2"/>
    <x v="1"/>
    <n v="97.02"/>
    <n v="16"/>
    <n v="1552.32"/>
    <x v="8"/>
    <s v="Low"/>
    <s v="Good"/>
    <n v="1136.6199999999999"/>
    <n v="0.1"/>
    <n v="1397.088"/>
  </r>
  <r>
    <x v="37"/>
    <x v="9"/>
    <x v="3"/>
    <s v="Formal"/>
    <x v="4"/>
    <x v="0"/>
    <x v="0"/>
    <n v="51.49"/>
    <n v="16"/>
    <n v="823.84"/>
    <x v="3"/>
    <s v="Low"/>
    <s v="Average"/>
    <n v="-728.4799999999999"/>
    <n v="0.1"/>
    <n v="741.45600000000002"/>
  </r>
  <r>
    <x v="38"/>
    <x v="35"/>
    <x v="4"/>
    <s v="Formal"/>
    <x v="4"/>
    <x v="6"/>
    <x v="1"/>
    <n v="180.53"/>
    <n v="14"/>
    <n v="2527.42"/>
    <x v="4"/>
    <s v="High"/>
    <s v="Good"/>
    <n v="1703.58"/>
    <n v="0.1"/>
    <n v="2274.6780000000003"/>
  </r>
  <r>
    <x v="39"/>
    <x v="36"/>
    <x v="0"/>
    <s v="Formal"/>
    <x v="3"/>
    <x v="3"/>
    <x v="0"/>
    <n v="126.83"/>
    <n v="4"/>
    <n v="507.32"/>
    <x v="11"/>
    <s v="Low"/>
    <s v="Average"/>
    <n v="-2020.1000000000001"/>
    <n v="0.1"/>
    <n v="456.58800000000002"/>
  </r>
  <r>
    <x v="40"/>
    <x v="37"/>
    <x v="3"/>
    <s v="Sneakers"/>
    <x v="4"/>
    <x v="0"/>
    <x v="2"/>
    <n v="56.85"/>
    <n v="7"/>
    <n v="397.95"/>
    <x v="6"/>
    <s v="Low"/>
    <s v="Low"/>
    <n v="-109.37"/>
    <n v="0.1"/>
    <n v="358.15499999999997"/>
  </r>
  <r>
    <x v="41"/>
    <x v="38"/>
    <x v="5"/>
    <s v="Casual"/>
    <x v="5"/>
    <x v="6"/>
    <x v="1"/>
    <n v="138.94"/>
    <n v="9"/>
    <n v="1250.46"/>
    <x v="10"/>
    <s v="Low"/>
    <s v="Average"/>
    <n v="852.51"/>
    <n v="0.1"/>
    <n v="1125.414"/>
  </r>
  <r>
    <x v="42"/>
    <x v="39"/>
    <x v="1"/>
    <s v="Sneakers"/>
    <x v="5"/>
    <x v="1"/>
    <x v="0"/>
    <n v="37.57"/>
    <n v="2"/>
    <n v="75.14"/>
    <x v="4"/>
    <s v="Low"/>
    <s v="Low"/>
    <n v="-1175.32"/>
    <n v="0.1"/>
    <n v="67.626000000000005"/>
  </r>
  <r>
    <x v="43"/>
    <x v="40"/>
    <x v="5"/>
    <s v="Formal"/>
    <x v="2"/>
    <x v="4"/>
    <x v="2"/>
    <n v="230.05"/>
    <n v="14"/>
    <n v="3220.7"/>
    <x v="1"/>
    <s v="High"/>
    <s v="Excellent"/>
    <n v="3145.56"/>
    <n v="0.1"/>
    <n v="2898.63"/>
  </r>
  <r>
    <x v="44"/>
    <x v="41"/>
    <x v="5"/>
    <s v="Running"/>
    <x v="4"/>
    <x v="3"/>
    <x v="2"/>
    <n v="86.93"/>
    <n v="6"/>
    <n v="521.58000000000004"/>
    <x v="11"/>
    <s v="Low"/>
    <s v="Average"/>
    <n v="-2699.12"/>
    <n v="0.1"/>
    <n v="469.42200000000003"/>
  </r>
  <r>
    <x v="45"/>
    <x v="42"/>
    <x v="1"/>
    <s v="Boots"/>
    <x v="1"/>
    <x v="2"/>
    <x v="1"/>
    <n v="175.75"/>
    <n v="14"/>
    <n v="2460.5"/>
    <x v="6"/>
    <s v="High"/>
    <s v="Good"/>
    <n v="1938.92"/>
    <n v="0.1"/>
    <n v="2214.4500000000003"/>
  </r>
  <r>
    <x v="46"/>
    <x v="43"/>
    <x v="3"/>
    <s v="Sports"/>
    <x v="2"/>
    <x v="1"/>
    <x v="1"/>
    <n v="98.58"/>
    <n v="5"/>
    <n v="492.9"/>
    <x v="9"/>
    <s v="Low"/>
    <s v="Low"/>
    <n v="-1967.6"/>
    <n v="0.1"/>
    <n v="443.61"/>
  </r>
  <r>
    <x v="47"/>
    <x v="44"/>
    <x v="1"/>
    <s v="Sports"/>
    <x v="5"/>
    <x v="1"/>
    <x v="1"/>
    <n v="144.41"/>
    <n v="2"/>
    <n v="288.82"/>
    <x v="3"/>
    <s v="Low"/>
    <s v="Low"/>
    <n v="-204.07999999999998"/>
    <n v="0.1"/>
    <n v="259.93799999999999"/>
  </r>
  <r>
    <x v="48"/>
    <x v="45"/>
    <x v="2"/>
    <s v="Casual"/>
    <x v="5"/>
    <x v="5"/>
    <x v="0"/>
    <n v="150.28"/>
    <n v="17"/>
    <n v="2554.7600000000002"/>
    <x v="9"/>
    <s v="High"/>
    <s v="Good"/>
    <n v="2265.94"/>
    <n v="0.1"/>
    <n v="2299.2840000000001"/>
  </r>
  <r>
    <x v="49"/>
    <x v="46"/>
    <x v="2"/>
    <s v="Running"/>
    <x v="3"/>
    <x v="4"/>
    <x v="0"/>
    <n v="70.67"/>
    <n v="3"/>
    <n v="212.01"/>
    <x v="10"/>
    <s v="Low"/>
    <s v="Low"/>
    <n v="-2342.75"/>
    <n v="0.1"/>
    <n v="190.809"/>
  </r>
  <r>
    <x v="50"/>
    <x v="47"/>
    <x v="2"/>
    <s v="Casual"/>
    <x v="1"/>
    <x v="5"/>
    <x v="0"/>
    <n v="243.31"/>
    <n v="4"/>
    <n v="973.24"/>
    <x v="5"/>
    <s v="Low"/>
    <s v="Average"/>
    <n v="761.23"/>
    <n v="0.1"/>
    <n v="875.91600000000005"/>
  </r>
  <r>
    <x v="51"/>
    <x v="48"/>
    <x v="5"/>
    <s v="Boots"/>
    <x v="1"/>
    <x v="5"/>
    <x v="1"/>
    <n v="200.53"/>
    <n v="3"/>
    <n v="601.59"/>
    <x v="0"/>
    <s v="Low"/>
    <s v="Average"/>
    <n v="-371.65"/>
    <n v="0.1"/>
    <n v="541.43100000000004"/>
  </r>
  <r>
    <x v="52"/>
    <x v="15"/>
    <x v="3"/>
    <s v="Boots"/>
    <x v="3"/>
    <x v="3"/>
    <x v="0"/>
    <n v="236.69"/>
    <n v="9"/>
    <n v="2130.21"/>
    <x v="7"/>
    <s v="High"/>
    <s v="Good"/>
    <n v="1528.62"/>
    <n v="0.1"/>
    <n v="1917.1890000000001"/>
  </r>
  <r>
    <x v="53"/>
    <x v="49"/>
    <x v="3"/>
    <s v="Boots"/>
    <x v="3"/>
    <x v="3"/>
    <x v="2"/>
    <n v="226.86"/>
    <n v="13"/>
    <n v="2949.18"/>
    <x v="6"/>
    <s v="High"/>
    <s v="Good"/>
    <n v="818.9699999999998"/>
    <n v="0.1"/>
    <n v="2654.2619999999997"/>
  </r>
  <r>
    <x v="54"/>
    <x v="15"/>
    <x v="0"/>
    <s v="Formal"/>
    <x v="1"/>
    <x v="5"/>
    <x v="0"/>
    <n v="161.54"/>
    <n v="3"/>
    <n v="484.62"/>
    <x v="7"/>
    <s v="Low"/>
    <s v="Low"/>
    <n v="-2464.56"/>
    <n v="0.1"/>
    <n v="436.15800000000002"/>
  </r>
  <r>
    <x v="55"/>
    <x v="50"/>
    <x v="3"/>
    <s v="Sneakers"/>
    <x v="0"/>
    <x v="0"/>
    <x v="2"/>
    <n v="232.81"/>
    <n v="18"/>
    <n v="4190.58"/>
    <x v="4"/>
    <s v="High"/>
    <s v="Excellent"/>
    <n v="3705.96"/>
    <n v="0.1"/>
    <n v="3771.5219999999999"/>
  </r>
  <r>
    <x v="56"/>
    <x v="51"/>
    <x v="4"/>
    <s v="Sports"/>
    <x v="2"/>
    <x v="6"/>
    <x v="1"/>
    <n v="49.47"/>
    <n v="8"/>
    <n v="395.76"/>
    <x v="4"/>
    <s v="Low"/>
    <s v="Low"/>
    <n v="-3794.8199999999997"/>
    <n v="0.1"/>
    <n v="356.18400000000003"/>
  </r>
  <r>
    <x v="57"/>
    <x v="52"/>
    <x v="2"/>
    <s v="Boots"/>
    <x v="1"/>
    <x v="1"/>
    <x v="1"/>
    <n v="73.12"/>
    <n v="10"/>
    <n v="731.2"/>
    <x v="8"/>
    <s v="Low"/>
    <s v="Average"/>
    <n v="335.44000000000005"/>
    <n v="0.1"/>
    <n v="658.08"/>
  </r>
  <r>
    <x v="58"/>
    <x v="53"/>
    <x v="1"/>
    <s v="Running"/>
    <x v="2"/>
    <x v="3"/>
    <x v="0"/>
    <n v="39.950000000000003"/>
    <n v="10"/>
    <n v="399.5"/>
    <x v="3"/>
    <s v="Low"/>
    <s v="Low"/>
    <n v="-331.70000000000005"/>
    <n v="0.1"/>
    <n v="359.55"/>
  </r>
  <r>
    <x v="59"/>
    <x v="54"/>
    <x v="3"/>
    <s v="Sports"/>
    <x v="0"/>
    <x v="5"/>
    <x v="0"/>
    <n v="101.57"/>
    <n v="18"/>
    <n v="1828.26"/>
    <x v="4"/>
    <s v="Low"/>
    <s v="Good"/>
    <n v="1428.76"/>
    <n v="0.1"/>
    <n v="1645.434"/>
  </r>
  <r>
    <x v="60"/>
    <x v="55"/>
    <x v="1"/>
    <s v="Boots"/>
    <x v="0"/>
    <x v="5"/>
    <x v="2"/>
    <n v="115.51"/>
    <n v="7"/>
    <n v="808.57"/>
    <x v="7"/>
    <s v="Low"/>
    <s v="Average"/>
    <n v="-1019.6899999999999"/>
    <n v="0.1"/>
    <n v="727.71300000000008"/>
  </r>
  <r>
    <x v="61"/>
    <x v="56"/>
    <x v="0"/>
    <s v="Boots"/>
    <x v="4"/>
    <x v="4"/>
    <x v="2"/>
    <n v="89.7"/>
    <n v="2"/>
    <n v="179.4"/>
    <x v="6"/>
    <s v="Low"/>
    <s v="Low"/>
    <n v="-629.17000000000007"/>
    <n v="0.1"/>
    <n v="161.46"/>
  </r>
  <r>
    <x v="62"/>
    <x v="57"/>
    <x v="4"/>
    <s v="Casual"/>
    <x v="3"/>
    <x v="3"/>
    <x v="0"/>
    <n v="212.32"/>
    <n v="1"/>
    <n v="212.32"/>
    <x v="11"/>
    <s v="Low"/>
    <s v="Low"/>
    <n v="32.919999999999987"/>
    <n v="0.1"/>
    <n v="191.08799999999999"/>
  </r>
  <r>
    <x v="63"/>
    <x v="58"/>
    <x v="1"/>
    <s v="Formal"/>
    <x v="1"/>
    <x v="1"/>
    <x v="0"/>
    <n v="108.49"/>
    <n v="18"/>
    <n v="1952.82"/>
    <x v="2"/>
    <s v="Low"/>
    <s v="Good"/>
    <n v="1740.5"/>
    <n v="0.1"/>
    <n v="1757.538"/>
  </r>
  <r>
    <x v="64"/>
    <x v="59"/>
    <x v="2"/>
    <s v="Running"/>
    <x v="0"/>
    <x v="5"/>
    <x v="1"/>
    <n v="91.81"/>
    <n v="5"/>
    <n v="459.05"/>
    <x v="4"/>
    <s v="Low"/>
    <s v="Low"/>
    <n v="-1493.77"/>
    <n v="0.1"/>
    <n v="413.14500000000004"/>
  </r>
  <r>
    <x v="65"/>
    <x v="60"/>
    <x v="3"/>
    <s v="Running"/>
    <x v="0"/>
    <x v="3"/>
    <x v="0"/>
    <n v="149.38999999999999"/>
    <n v="14"/>
    <n v="2091.46"/>
    <x v="1"/>
    <s v="High"/>
    <s v="Good"/>
    <n v="1632.41"/>
    <n v="0.1"/>
    <n v="1882.3140000000001"/>
  </r>
  <r>
    <x v="66"/>
    <x v="61"/>
    <x v="1"/>
    <s v="Casual"/>
    <x v="3"/>
    <x v="1"/>
    <x v="2"/>
    <n v="61"/>
    <n v="7"/>
    <n v="427"/>
    <x v="5"/>
    <s v="Low"/>
    <s v="Low"/>
    <n v="-1664.46"/>
    <n v="0.1"/>
    <n v="384.3"/>
  </r>
  <r>
    <x v="67"/>
    <x v="62"/>
    <x v="2"/>
    <s v="Boots"/>
    <x v="2"/>
    <x v="0"/>
    <x v="0"/>
    <n v="206.48"/>
    <n v="14"/>
    <n v="2890.72"/>
    <x v="3"/>
    <s v="High"/>
    <s v="Good"/>
    <n v="2463.7199999999998"/>
    <n v="0.1"/>
    <n v="2601.6479999999997"/>
  </r>
  <r>
    <x v="68"/>
    <x v="63"/>
    <x v="0"/>
    <s v="Casual"/>
    <x v="3"/>
    <x v="3"/>
    <x v="2"/>
    <n v="46.4"/>
    <n v="14"/>
    <n v="649.6"/>
    <x v="10"/>
    <s v="Low"/>
    <s v="Average"/>
    <n v="-2241.12"/>
    <n v="0.1"/>
    <n v="584.64"/>
  </r>
  <r>
    <x v="69"/>
    <x v="34"/>
    <x v="4"/>
    <s v="Casual"/>
    <x v="3"/>
    <x v="1"/>
    <x v="2"/>
    <n v="247.12"/>
    <n v="8"/>
    <n v="1976.96"/>
    <x v="8"/>
    <s v="Low"/>
    <s v="Good"/>
    <n v="1327.3600000000001"/>
    <n v="0.1"/>
    <n v="1779.2640000000001"/>
  </r>
  <r>
    <x v="70"/>
    <x v="64"/>
    <x v="3"/>
    <s v="Casual"/>
    <x v="4"/>
    <x v="3"/>
    <x v="2"/>
    <n v="199.89"/>
    <n v="16"/>
    <n v="3198.24"/>
    <x v="11"/>
    <s v="High"/>
    <s v="Excellent"/>
    <n v="1221.2799999999997"/>
    <n v="0.1"/>
    <n v="2878.4159999999997"/>
  </r>
  <r>
    <x v="71"/>
    <x v="65"/>
    <x v="0"/>
    <s v="Boots"/>
    <x v="2"/>
    <x v="6"/>
    <x v="2"/>
    <n v="73.72"/>
    <n v="8"/>
    <n v="589.76"/>
    <x v="10"/>
    <s v="Low"/>
    <s v="Average"/>
    <n v="-2608.4799999999996"/>
    <n v="0.1"/>
    <n v="530.78399999999999"/>
  </r>
  <r>
    <x v="72"/>
    <x v="66"/>
    <x v="4"/>
    <s v="Sports"/>
    <x v="3"/>
    <x v="5"/>
    <x v="2"/>
    <n v="31.21"/>
    <n v="3"/>
    <n v="93.63"/>
    <x v="6"/>
    <s v="Low"/>
    <s v="Low"/>
    <n v="-496.13"/>
    <n v="0.1"/>
    <n v="84.266999999999996"/>
  </r>
  <r>
    <x v="73"/>
    <x v="67"/>
    <x v="4"/>
    <s v="Running"/>
    <x v="5"/>
    <x v="3"/>
    <x v="0"/>
    <n v="209.4"/>
    <n v="18"/>
    <n v="3769.2"/>
    <x v="8"/>
    <s v="High"/>
    <s v="Excellent"/>
    <n v="3675.5699999999997"/>
    <n v="0.1"/>
    <n v="3392.2799999999997"/>
  </r>
  <r>
    <x v="74"/>
    <x v="68"/>
    <x v="0"/>
    <s v="Running"/>
    <x v="1"/>
    <x v="6"/>
    <x v="2"/>
    <n v="185.51"/>
    <n v="9"/>
    <n v="1669.59"/>
    <x v="3"/>
    <s v="Low"/>
    <s v="Good"/>
    <n v="-2099.6099999999997"/>
    <n v="0.1"/>
    <n v="1502.6309999999999"/>
  </r>
  <r>
    <x v="75"/>
    <x v="69"/>
    <x v="2"/>
    <s v="Sneakers"/>
    <x v="5"/>
    <x v="6"/>
    <x v="1"/>
    <n v="190.38"/>
    <n v="14"/>
    <n v="2665.32"/>
    <x v="7"/>
    <s v="High"/>
    <s v="Good"/>
    <n v="995.73000000000025"/>
    <n v="0.1"/>
    <n v="2398.788"/>
  </r>
  <r>
    <x v="76"/>
    <x v="70"/>
    <x v="0"/>
    <s v="Boots"/>
    <x v="4"/>
    <x v="1"/>
    <x v="1"/>
    <n v="199.68"/>
    <n v="9"/>
    <n v="1797.12"/>
    <x v="10"/>
    <s v="Low"/>
    <s v="Good"/>
    <n v="-868.20000000000027"/>
    <n v="0.1"/>
    <n v="1617.4079999999999"/>
  </r>
  <r>
    <x v="77"/>
    <x v="71"/>
    <x v="4"/>
    <s v="Formal"/>
    <x v="5"/>
    <x v="2"/>
    <x v="2"/>
    <n v="46.29"/>
    <n v="7"/>
    <n v="324.02999999999997"/>
    <x v="3"/>
    <s v="Low"/>
    <s v="Low"/>
    <n v="-1473.09"/>
    <n v="0.1"/>
    <n v="291.62700000000001"/>
  </r>
  <r>
    <x v="78"/>
    <x v="72"/>
    <x v="1"/>
    <s v="Running"/>
    <x v="3"/>
    <x v="3"/>
    <x v="1"/>
    <n v="108.86"/>
    <n v="11"/>
    <n v="1197.46"/>
    <x v="0"/>
    <s v="Low"/>
    <s v="Average"/>
    <n v="873.43000000000006"/>
    <n v="0.1"/>
    <n v="1077.7140000000002"/>
  </r>
  <r>
    <x v="79"/>
    <x v="73"/>
    <x v="4"/>
    <s v="Formal"/>
    <x v="3"/>
    <x v="3"/>
    <x v="1"/>
    <n v="55.49"/>
    <n v="14"/>
    <n v="776.86"/>
    <x v="7"/>
    <s v="Low"/>
    <s v="Average"/>
    <n v="-420.6"/>
    <n v="0.1"/>
    <n v="699.17399999999998"/>
  </r>
  <r>
    <x v="80"/>
    <x v="74"/>
    <x v="5"/>
    <s v="Boots"/>
    <x v="4"/>
    <x v="2"/>
    <x v="1"/>
    <n v="219.88"/>
    <n v="7"/>
    <n v="1539.16"/>
    <x v="1"/>
    <s v="Low"/>
    <s v="Good"/>
    <n v="762.30000000000007"/>
    <n v="0.1"/>
    <n v="1385.2440000000001"/>
  </r>
  <r>
    <x v="81"/>
    <x v="75"/>
    <x v="2"/>
    <s v="Sports"/>
    <x v="4"/>
    <x v="5"/>
    <x v="0"/>
    <n v="167.13"/>
    <n v="20"/>
    <n v="3342.6"/>
    <x v="1"/>
    <s v="High"/>
    <s v="Excellent"/>
    <n v="1803.4399999999998"/>
    <n v="0.1"/>
    <n v="3008.34"/>
  </r>
  <r>
    <x v="82"/>
    <x v="76"/>
    <x v="3"/>
    <s v="Formal"/>
    <x v="1"/>
    <x v="5"/>
    <x v="1"/>
    <n v="102.8"/>
    <n v="10"/>
    <n v="1028"/>
    <x v="7"/>
    <s v="Low"/>
    <s v="Average"/>
    <n v="-2314.6"/>
    <n v="0.1"/>
    <n v="925.2"/>
  </r>
  <r>
    <x v="83"/>
    <x v="77"/>
    <x v="5"/>
    <s v="Formal"/>
    <x v="3"/>
    <x v="0"/>
    <x v="1"/>
    <n v="43.98"/>
    <n v="15"/>
    <n v="659.7"/>
    <x v="7"/>
    <s v="Low"/>
    <s v="Average"/>
    <n v="-368.29999999999995"/>
    <n v="0.1"/>
    <n v="593.73"/>
  </r>
  <r>
    <x v="84"/>
    <x v="78"/>
    <x v="1"/>
    <s v="Running"/>
    <x v="0"/>
    <x v="5"/>
    <x v="1"/>
    <n v="98.42"/>
    <n v="6"/>
    <n v="590.52"/>
    <x v="2"/>
    <s v="Low"/>
    <s v="Average"/>
    <n v="-69.180000000000064"/>
    <n v="0.1"/>
    <n v="531.46799999999996"/>
  </r>
  <r>
    <x v="85"/>
    <x v="79"/>
    <x v="4"/>
    <s v="Running"/>
    <x v="2"/>
    <x v="2"/>
    <x v="2"/>
    <n v="101.54"/>
    <n v="20"/>
    <n v="2030.8"/>
    <x v="0"/>
    <s v="High"/>
    <s v="Good"/>
    <n v="1440.28"/>
    <n v="0.1"/>
    <n v="1827.72"/>
  </r>
  <r>
    <x v="86"/>
    <x v="80"/>
    <x v="3"/>
    <s v="Running"/>
    <x v="5"/>
    <x v="0"/>
    <x v="2"/>
    <n v="190.51"/>
    <n v="7"/>
    <n v="1333.57"/>
    <x v="10"/>
    <s v="Low"/>
    <s v="Average"/>
    <n v="-697.23"/>
    <n v="0.1"/>
    <n v="1200.213"/>
  </r>
  <r>
    <x v="87"/>
    <x v="81"/>
    <x v="5"/>
    <s v="Formal"/>
    <x v="3"/>
    <x v="5"/>
    <x v="0"/>
    <n v="170.26"/>
    <n v="3"/>
    <n v="510.78"/>
    <x v="0"/>
    <s v="Low"/>
    <s v="Average"/>
    <n v="-822.79"/>
    <n v="0.1"/>
    <n v="459.702"/>
  </r>
  <r>
    <x v="88"/>
    <x v="82"/>
    <x v="5"/>
    <s v="Formal"/>
    <x v="2"/>
    <x v="0"/>
    <x v="1"/>
    <n v="225.19"/>
    <n v="13"/>
    <n v="2927.47"/>
    <x v="8"/>
    <s v="High"/>
    <s v="Good"/>
    <n v="2416.6899999999996"/>
    <n v="0.1"/>
    <n v="2634.723"/>
  </r>
  <r>
    <x v="89"/>
    <x v="83"/>
    <x v="0"/>
    <s v="Formal"/>
    <x v="2"/>
    <x v="0"/>
    <x v="1"/>
    <n v="133.88999999999999"/>
    <n v="1"/>
    <n v="133.88999999999999"/>
    <x v="8"/>
    <s v="Low"/>
    <s v="Low"/>
    <n v="-2793.58"/>
    <n v="0.1"/>
    <n v="120.50099999999999"/>
  </r>
  <r>
    <x v="90"/>
    <x v="84"/>
    <x v="0"/>
    <s v="Sneakers"/>
    <x v="2"/>
    <x v="4"/>
    <x v="0"/>
    <n v="56.31"/>
    <n v="15"/>
    <n v="844.65"/>
    <x v="9"/>
    <s v="Low"/>
    <s v="Average"/>
    <n v="710.76"/>
    <n v="0.1"/>
    <n v="760.18499999999995"/>
  </r>
  <r>
    <x v="91"/>
    <x v="85"/>
    <x v="5"/>
    <s v="Boots"/>
    <x v="1"/>
    <x v="5"/>
    <x v="1"/>
    <n v="186.91"/>
    <n v="5"/>
    <n v="934.55"/>
    <x v="2"/>
    <s v="Low"/>
    <s v="Average"/>
    <n v="89.899999999999977"/>
    <n v="0.1"/>
    <n v="841.09500000000003"/>
  </r>
  <r>
    <x v="92"/>
    <x v="86"/>
    <x v="2"/>
    <s v="Boots"/>
    <x v="1"/>
    <x v="6"/>
    <x v="1"/>
    <n v="197.37"/>
    <n v="15"/>
    <n v="2960.55"/>
    <x v="7"/>
    <s v="High"/>
    <s v="Good"/>
    <n v="2026.0000000000002"/>
    <n v="0.1"/>
    <n v="2664.4950000000003"/>
  </r>
  <r>
    <x v="93"/>
    <x v="87"/>
    <x v="1"/>
    <s v="Formal"/>
    <x v="4"/>
    <x v="3"/>
    <x v="0"/>
    <n v="153.47999999999999"/>
    <n v="6"/>
    <n v="920.88"/>
    <x v="2"/>
    <s v="Low"/>
    <s v="Average"/>
    <n v="-2039.67"/>
    <n v="0.1"/>
    <n v="828.79200000000003"/>
  </r>
  <r>
    <x v="94"/>
    <x v="88"/>
    <x v="2"/>
    <s v="Formal"/>
    <x v="3"/>
    <x v="0"/>
    <x v="2"/>
    <n v="199.61"/>
    <n v="9"/>
    <n v="1796.49"/>
    <x v="0"/>
    <s v="Low"/>
    <s v="Good"/>
    <n v="875.61"/>
    <n v="0.1"/>
    <n v="1616.8410000000001"/>
  </r>
  <r>
    <x v="95"/>
    <x v="89"/>
    <x v="1"/>
    <s v="Sports"/>
    <x v="2"/>
    <x v="3"/>
    <x v="2"/>
    <n v="138.63999999999999"/>
    <n v="3"/>
    <n v="415.92"/>
    <x v="2"/>
    <s v="Low"/>
    <s v="Low"/>
    <n v="-1380.57"/>
    <n v="0.1"/>
    <n v="374.32800000000003"/>
  </r>
  <r>
    <x v="96"/>
    <x v="90"/>
    <x v="0"/>
    <s v="Casual"/>
    <x v="2"/>
    <x v="0"/>
    <x v="2"/>
    <n v="145"/>
    <n v="18"/>
    <n v="2610"/>
    <x v="7"/>
    <s v="High"/>
    <s v="Good"/>
    <n v="2194.08"/>
    <n v="0.1"/>
    <n v="2349"/>
  </r>
  <r>
    <x v="97"/>
    <x v="91"/>
    <x v="1"/>
    <s v="Casual"/>
    <x v="5"/>
    <x v="6"/>
    <x v="2"/>
    <n v="124.06"/>
    <n v="5"/>
    <n v="620.29999999999995"/>
    <x v="8"/>
    <s v="Low"/>
    <s v="Average"/>
    <n v="-1989.7"/>
    <n v="0.1"/>
    <n v="558.27"/>
  </r>
  <r>
    <x v="98"/>
    <x v="92"/>
    <x v="5"/>
    <s v="Formal"/>
    <x v="5"/>
    <x v="0"/>
    <x v="2"/>
    <n v="35.590000000000003"/>
    <n v="18"/>
    <n v="640.62"/>
    <x v="7"/>
    <s v="Low"/>
    <s v="Average"/>
    <n v="20.32000000000005"/>
    <n v="0.1"/>
    <n v="576.55799999999999"/>
  </r>
  <r>
    <x v="99"/>
    <x v="93"/>
    <x v="1"/>
    <s v="Running"/>
    <x v="1"/>
    <x v="6"/>
    <x v="2"/>
    <n v="53.74"/>
    <n v="19"/>
    <n v="1021.06"/>
    <x v="5"/>
    <s v="Low"/>
    <s v="Average"/>
    <n v="380.43999999999994"/>
    <n v="0.1"/>
    <n v="918.95399999999995"/>
  </r>
  <r>
    <x v="100"/>
    <x v="94"/>
    <x v="4"/>
    <s v="Formal"/>
    <x v="4"/>
    <x v="5"/>
    <x v="1"/>
    <n v="36.909999999999997"/>
    <n v="12"/>
    <n v="442.92"/>
    <x v="11"/>
    <s v="Low"/>
    <s v="Low"/>
    <n v="-578.13999999999987"/>
    <n v="0.1"/>
    <n v="398.62800000000004"/>
  </r>
  <r>
    <x v="101"/>
    <x v="4"/>
    <x v="3"/>
    <s v="Formal"/>
    <x v="2"/>
    <x v="3"/>
    <x v="2"/>
    <n v="170.01"/>
    <n v="20"/>
    <n v="3400.2"/>
    <x v="3"/>
    <s v="High"/>
    <s v="Excellent"/>
    <n v="2957.2799999999997"/>
    <n v="0.1"/>
    <n v="3060.18"/>
  </r>
  <r>
    <x v="102"/>
    <x v="95"/>
    <x v="5"/>
    <s v="Sports"/>
    <x v="3"/>
    <x v="2"/>
    <x v="2"/>
    <n v="99.16"/>
    <n v="1"/>
    <n v="99.16"/>
    <x v="9"/>
    <s v="Low"/>
    <s v="Low"/>
    <n v="-3301.04"/>
    <n v="0.1"/>
    <n v="89.244"/>
  </r>
  <r>
    <x v="103"/>
    <x v="96"/>
    <x v="3"/>
    <s v="Sneakers"/>
    <x v="1"/>
    <x v="1"/>
    <x v="2"/>
    <n v="141.88999999999999"/>
    <n v="15"/>
    <n v="2128.35"/>
    <x v="1"/>
    <s v="High"/>
    <s v="Good"/>
    <n v="2029.1899999999998"/>
    <n v="0.1"/>
    <n v="1915.5149999999999"/>
  </r>
  <r>
    <x v="104"/>
    <x v="97"/>
    <x v="1"/>
    <s v="Running"/>
    <x v="5"/>
    <x v="2"/>
    <x v="2"/>
    <n v="229.66"/>
    <n v="19"/>
    <n v="4363.54"/>
    <x v="3"/>
    <s v="High"/>
    <s v="Excellent"/>
    <n v="2235.19"/>
    <n v="0.1"/>
    <n v="3927.1860000000001"/>
  </r>
  <r>
    <x v="105"/>
    <x v="98"/>
    <x v="3"/>
    <s v="Running"/>
    <x v="0"/>
    <x v="6"/>
    <x v="2"/>
    <n v="84.84"/>
    <n v="15"/>
    <n v="1272.5999999999999"/>
    <x v="1"/>
    <s v="Low"/>
    <s v="Average"/>
    <n v="-3090.94"/>
    <n v="0.1"/>
    <n v="1145.3399999999999"/>
  </r>
  <r>
    <x v="106"/>
    <x v="99"/>
    <x v="4"/>
    <s v="Sports"/>
    <x v="4"/>
    <x v="3"/>
    <x v="2"/>
    <n v="120.28"/>
    <n v="15"/>
    <n v="1804.2"/>
    <x v="10"/>
    <s v="Low"/>
    <s v="Good"/>
    <n v="531.60000000000014"/>
    <n v="0.1"/>
    <n v="1623.78"/>
  </r>
  <r>
    <x v="107"/>
    <x v="100"/>
    <x v="5"/>
    <s v="Running"/>
    <x v="3"/>
    <x v="5"/>
    <x v="0"/>
    <n v="196.22"/>
    <n v="3"/>
    <n v="588.66"/>
    <x v="6"/>
    <s v="Low"/>
    <s v="Average"/>
    <n v="-1215.54"/>
    <n v="0.1"/>
    <n v="529.79399999999998"/>
  </r>
  <r>
    <x v="108"/>
    <x v="101"/>
    <x v="1"/>
    <s v="Running"/>
    <x v="3"/>
    <x v="1"/>
    <x v="0"/>
    <n v="80.34"/>
    <n v="8"/>
    <n v="642.72"/>
    <x v="7"/>
    <s v="Low"/>
    <s v="Average"/>
    <n v="54.060000000000059"/>
    <n v="0.1"/>
    <n v="578.44800000000009"/>
  </r>
  <r>
    <x v="109"/>
    <x v="102"/>
    <x v="0"/>
    <s v="Sneakers"/>
    <x v="2"/>
    <x v="0"/>
    <x v="0"/>
    <n v="46.94"/>
    <n v="7"/>
    <n v="328.58"/>
    <x v="6"/>
    <s v="Low"/>
    <s v="Low"/>
    <n v="-314.14000000000004"/>
    <n v="0.1"/>
    <n v="295.72199999999998"/>
  </r>
  <r>
    <x v="110"/>
    <x v="78"/>
    <x v="2"/>
    <s v="Casual"/>
    <x v="4"/>
    <x v="2"/>
    <x v="2"/>
    <n v="93.75"/>
    <n v="4"/>
    <n v="375"/>
    <x v="2"/>
    <s v="Low"/>
    <s v="Low"/>
    <n v="46.420000000000016"/>
    <n v="0.1"/>
    <n v="337.5"/>
  </r>
  <r>
    <x v="111"/>
    <x v="103"/>
    <x v="2"/>
    <s v="Sneakers"/>
    <x v="3"/>
    <x v="2"/>
    <x v="0"/>
    <n v="65.47"/>
    <n v="6"/>
    <n v="392.82"/>
    <x v="5"/>
    <s v="Low"/>
    <s v="Low"/>
    <n v="17.819999999999993"/>
    <n v="0.1"/>
    <n v="353.53800000000001"/>
  </r>
  <r>
    <x v="112"/>
    <x v="104"/>
    <x v="0"/>
    <s v="Sneakers"/>
    <x v="5"/>
    <x v="3"/>
    <x v="1"/>
    <n v="234.53"/>
    <n v="10"/>
    <n v="2345.3000000000002"/>
    <x v="1"/>
    <s v="High"/>
    <s v="Good"/>
    <n v="1952.4800000000002"/>
    <n v="0.1"/>
    <n v="2110.7700000000004"/>
  </r>
  <r>
    <x v="113"/>
    <x v="105"/>
    <x v="5"/>
    <s v="Boots"/>
    <x v="2"/>
    <x v="1"/>
    <x v="1"/>
    <n v="207.79"/>
    <n v="13"/>
    <n v="2701.27"/>
    <x v="8"/>
    <s v="High"/>
    <s v="Good"/>
    <n v="355.9699999999998"/>
    <n v="0.1"/>
    <n v="2431.143"/>
  </r>
  <r>
    <x v="114"/>
    <x v="29"/>
    <x v="0"/>
    <s v="Boots"/>
    <x v="0"/>
    <x v="4"/>
    <x v="1"/>
    <n v="169.35"/>
    <n v="8"/>
    <n v="1354.8"/>
    <x v="8"/>
    <s v="Low"/>
    <s v="Average"/>
    <n v="-1346.47"/>
    <n v="0.1"/>
    <n v="1219.32"/>
  </r>
  <r>
    <x v="115"/>
    <x v="106"/>
    <x v="2"/>
    <s v="Running"/>
    <x v="0"/>
    <x v="5"/>
    <x v="2"/>
    <n v="221.72"/>
    <n v="4"/>
    <n v="886.88"/>
    <x v="0"/>
    <s v="Low"/>
    <s v="Average"/>
    <n v="-467.91999999999996"/>
    <n v="0.1"/>
    <n v="798.19200000000001"/>
  </r>
  <r>
    <x v="116"/>
    <x v="107"/>
    <x v="0"/>
    <s v="Sneakers"/>
    <x v="3"/>
    <x v="3"/>
    <x v="0"/>
    <n v="206.81"/>
    <n v="12"/>
    <n v="2481.7199999999998"/>
    <x v="8"/>
    <s v="High"/>
    <s v="Good"/>
    <n v="1594.8399999999997"/>
    <n v="0.1"/>
    <n v="2233.5479999999998"/>
  </r>
  <r>
    <x v="117"/>
    <x v="108"/>
    <x v="0"/>
    <s v="Formal"/>
    <x v="0"/>
    <x v="2"/>
    <x v="2"/>
    <n v="71.05"/>
    <n v="16"/>
    <n v="1136.8"/>
    <x v="2"/>
    <s v="Low"/>
    <s v="Average"/>
    <n v="-1344.9199999999998"/>
    <n v="0.1"/>
    <n v="1023.12"/>
  </r>
  <r>
    <x v="118"/>
    <x v="109"/>
    <x v="5"/>
    <s v="Casual"/>
    <x v="3"/>
    <x v="5"/>
    <x v="1"/>
    <n v="226.36"/>
    <n v="5"/>
    <n v="1131.8"/>
    <x v="8"/>
    <s v="Low"/>
    <s v="Average"/>
    <n v="-5"/>
    <n v="0.1"/>
    <n v="1018.62"/>
  </r>
  <r>
    <x v="119"/>
    <x v="110"/>
    <x v="2"/>
    <s v="Formal"/>
    <x v="4"/>
    <x v="6"/>
    <x v="1"/>
    <n v="148.66"/>
    <n v="20"/>
    <n v="2973.2"/>
    <x v="6"/>
    <s v="High"/>
    <s v="Good"/>
    <n v="1841.3999999999999"/>
    <n v="0.1"/>
    <n v="2675.88"/>
  </r>
  <r>
    <x v="120"/>
    <x v="97"/>
    <x v="4"/>
    <s v="Casual"/>
    <x v="5"/>
    <x v="3"/>
    <x v="2"/>
    <n v="207.64"/>
    <n v="9"/>
    <n v="1868.76"/>
    <x v="3"/>
    <s v="Low"/>
    <s v="Good"/>
    <n v="-1104.4399999999998"/>
    <n v="0.1"/>
    <n v="1681.884"/>
  </r>
  <r>
    <x v="121"/>
    <x v="111"/>
    <x v="2"/>
    <s v="Sneakers"/>
    <x v="3"/>
    <x v="6"/>
    <x v="2"/>
    <n v="227.14"/>
    <n v="15"/>
    <n v="3407.1"/>
    <x v="6"/>
    <s v="High"/>
    <s v="Excellent"/>
    <n v="1538.34"/>
    <n v="0.1"/>
    <n v="3066.39"/>
  </r>
  <r>
    <x v="122"/>
    <x v="112"/>
    <x v="4"/>
    <s v="Casual"/>
    <x v="4"/>
    <x v="0"/>
    <x v="2"/>
    <n v="99.96"/>
    <n v="16"/>
    <n v="1599.36"/>
    <x v="11"/>
    <s v="Low"/>
    <s v="Good"/>
    <n v="-1807.74"/>
    <n v="0.1"/>
    <n v="1439.424"/>
  </r>
  <r>
    <x v="123"/>
    <x v="113"/>
    <x v="4"/>
    <s v="Sneakers"/>
    <x v="3"/>
    <x v="3"/>
    <x v="1"/>
    <n v="54.21"/>
    <n v="11"/>
    <n v="596.30999999999995"/>
    <x v="6"/>
    <s v="Low"/>
    <s v="Average"/>
    <n v="-1003.05"/>
    <n v="0.1"/>
    <n v="536.67899999999997"/>
  </r>
  <r>
    <x v="124"/>
    <x v="114"/>
    <x v="3"/>
    <s v="Running"/>
    <x v="2"/>
    <x v="2"/>
    <x v="2"/>
    <n v="80.150000000000006"/>
    <n v="17"/>
    <n v="1362.55"/>
    <x v="11"/>
    <s v="Low"/>
    <s v="Average"/>
    <n v="766.24"/>
    <n v="0.1"/>
    <n v="1226.2950000000001"/>
  </r>
  <r>
    <x v="125"/>
    <x v="115"/>
    <x v="3"/>
    <s v="Boots"/>
    <x v="4"/>
    <x v="2"/>
    <x v="1"/>
    <n v="123.96"/>
    <n v="18"/>
    <n v="2231.2800000000002"/>
    <x v="9"/>
    <s v="High"/>
    <s v="Good"/>
    <n v="868.73000000000025"/>
    <n v="0.1"/>
    <n v="2008.1520000000003"/>
  </r>
  <r>
    <x v="126"/>
    <x v="116"/>
    <x v="0"/>
    <s v="Running"/>
    <x v="0"/>
    <x v="0"/>
    <x v="2"/>
    <n v="209.96"/>
    <n v="15"/>
    <n v="3149.4"/>
    <x v="9"/>
    <s v="High"/>
    <s v="Excellent"/>
    <n v="918.11999999999989"/>
    <n v="0.1"/>
    <n v="2834.46"/>
  </r>
  <r>
    <x v="127"/>
    <x v="117"/>
    <x v="4"/>
    <s v="Boots"/>
    <x v="1"/>
    <x v="3"/>
    <x v="2"/>
    <n v="219.36"/>
    <n v="8"/>
    <n v="1754.88"/>
    <x v="8"/>
    <s v="Low"/>
    <s v="Good"/>
    <n v="-1394.52"/>
    <n v="0.1"/>
    <n v="1579.3920000000001"/>
  </r>
  <r>
    <x v="128"/>
    <x v="53"/>
    <x v="4"/>
    <s v="Formal"/>
    <x v="3"/>
    <x v="5"/>
    <x v="2"/>
    <n v="31.53"/>
    <n v="17"/>
    <n v="536.01"/>
    <x v="3"/>
    <s v="Low"/>
    <s v="Average"/>
    <n v="-1218.8700000000001"/>
    <n v="0.1"/>
    <n v="482.40899999999999"/>
  </r>
  <r>
    <x v="129"/>
    <x v="118"/>
    <x v="4"/>
    <s v="Sports"/>
    <x v="0"/>
    <x v="0"/>
    <x v="0"/>
    <n v="142.36000000000001"/>
    <n v="15"/>
    <n v="2135.4"/>
    <x v="7"/>
    <s v="High"/>
    <s v="Good"/>
    <n v="1599.39"/>
    <n v="0.1"/>
    <n v="1921.8600000000001"/>
  </r>
  <r>
    <x v="130"/>
    <x v="119"/>
    <x v="0"/>
    <s v="Boots"/>
    <x v="1"/>
    <x v="4"/>
    <x v="1"/>
    <n v="121.83"/>
    <n v="11"/>
    <n v="1340.13"/>
    <x v="10"/>
    <s v="Low"/>
    <s v="Average"/>
    <n v="-795.27"/>
    <n v="0.1"/>
    <n v="1206.1170000000002"/>
  </r>
  <r>
    <x v="131"/>
    <x v="120"/>
    <x v="3"/>
    <s v="Boots"/>
    <x v="4"/>
    <x v="3"/>
    <x v="1"/>
    <n v="78.86"/>
    <n v="7"/>
    <n v="552.02"/>
    <x v="10"/>
    <s v="Low"/>
    <s v="Average"/>
    <n v="-788.11000000000013"/>
    <n v="0.1"/>
    <n v="496.81799999999998"/>
  </r>
  <r>
    <x v="132"/>
    <x v="121"/>
    <x v="2"/>
    <s v="Sports"/>
    <x v="5"/>
    <x v="4"/>
    <x v="0"/>
    <n v="56.37"/>
    <n v="17"/>
    <n v="958.29"/>
    <x v="3"/>
    <s v="Low"/>
    <s v="Average"/>
    <n v="406.27"/>
    <n v="0.1"/>
    <n v="862.46100000000001"/>
  </r>
  <r>
    <x v="133"/>
    <x v="122"/>
    <x v="4"/>
    <s v="Casual"/>
    <x v="0"/>
    <x v="1"/>
    <x v="1"/>
    <n v="104.28"/>
    <n v="8"/>
    <n v="834.24"/>
    <x v="7"/>
    <s v="Low"/>
    <s v="Average"/>
    <n v="-124.04999999999995"/>
    <n v="0.1"/>
    <n v="750.81600000000003"/>
  </r>
  <r>
    <x v="134"/>
    <x v="123"/>
    <x v="4"/>
    <s v="Running"/>
    <x v="5"/>
    <x v="5"/>
    <x v="2"/>
    <n v="237.44"/>
    <n v="5"/>
    <n v="1187.2"/>
    <x v="3"/>
    <s v="Low"/>
    <s v="Average"/>
    <n v="352.96000000000004"/>
    <n v="0.1"/>
    <n v="1068.48"/>
  </r>
  <r>
    <x v="135"/>
    <x v="124"/>
    <x v="1"/>
    <s v="Formal"/>
    <x v="5"/>
    <x v="4"/>
    <x v="0"/>
    <n v="101.1"/>
    <n v="5"/>
    <n v="505.5"/>
    <x v="8"/>
    <s v="Low"/>
    <s v="Average"/>
    <n v="-681.7"/>
    <n v="0.1"/>
    <n v="454.95"/>
  </r>
  <r>
    <x v="136"/>
    <x v="125"/>
    <x v="5"/>
    <s v="Formal"/>
    <x v="4"/>
    <x v="3"/>
    <x v="0"/>
    <n v="144.13"/>
    <n v="10"/>
    <n v="1441.3"/>
    <x v="3"/>
    <s v="Low"/>
    <s v="Average"/>
    <n v="935.8"/>
    <n v="0.1"/>
    <n v="1297.17"/>
  </r>
  <r>
    <x v="137"/>
    <x v="126"/>
    <x v="5"/>
    <s v="Running"/>
    <x v="5"/>
    <x v="6"/>
    <x v="2"/>
    <n v="184.66"/>
    <n v="9"/>
    <n v="1661.94"/>
    <x v="11"/>
    <s v="Low"/>
    <s v="Good"/>
    <n v="220.6400000000001"/>
    <n v="0.1"/>
    <n v="1495.7460000000001"/>
  </r>
  <r>
    <x v="138"/>
    <x v="50"/>
    <x v="1"/>
    <s v="Boots"/>
    <x v="5"/>
    <x v="0"/>
    <x v="0"/>
    <n v="110"/>
    <n v="19"/>
    <n v="2090"/>
    <x v="4"/>
    <s v="High"/>
    <s v="Good"/>
    <n v="428.05999999999995"/>
    <n v="0.1"/>
    <n v="1881"/>
  </r>
  <r>
    <x v="139"/>
    <x v="127"/>
    <x v="0"/>
    <s v="Casual"/>
    <x v="5"/>
    <x v="5"/>
    <x v="2"/>
    <n v="243.79"/>
    <n v="10"/>
    <n v="2437.9"/>
    <x v="3"/>
    <s v="High"/>
    <s v="Good"/>
    <n v="347.90000000000009"/>
    <n v="0.1"/>
    <n v="2194.11"/>
  </r>
  <r>
    <x v="140"/>
    <x v="128"/>
    <x v="2"/>
    <s v="Casual"/>
    <x v="1"/>
    <x v="6"/>
    <x v="2"/>
    <n v="241.74"/>
    <n v="20"/>
    <n v="4834.8"/>
    <x v="0"/>
    <s v="High"/>
    <s v="Excellent"/>
    <n v="2396.9"/>
    <n v="0.1"/>
    <n v="4351.3200000000006"/>
  </r>
  <r>
    <x v="141"/>
    <x v="58"/>
    <x v="2"/>
    <s v="Formal"/>
    <x v="0"/>
    <x v="5"/>
    <x v="1"/>
    <n v="85.39"/>
    <n v="10"/>
    <n v="853.9"/>
    <x v="2"/>
    <s v="Low"/>
    <s v="Average"/>
    <n v="-3980.9"/>
    <n v="0.1"/>
    <n v="768.51"/>
  </r>
  <r>
    <x v="142"/>
    <x v="41"/>
    <x v="1"/>
    <s v="Running"/>
    <x v="2"/>
    <x v="2"/>
    <x v="0"/>
    <n v="139.38999999999999"/>
    <n v="20"/>
    <n v="2787.8"/>
    <x v="11"/>
    <s v="High"/>
    <s v="Good"/>
    <n v="1933.9"/>
    <n v="0.1"/>
    <n v="2509.0200000000004"/>
  </r>
  <r>
    <x v="143"/>
    <x v="49"/>
    <x v="3"/>
    <s v="Casual"/>
    <x v="2"/>
    <x v="5"/>
    <x v="0"/>
    <n v="96.19"/>
    <n v="3"/>
    <n v="288.57"/>
    <x v="6"/>
    <s v="Low"/>
    <s v="Low"/>
    <n v="-2499.23"/>
    <n v="0.1"/>
    <n v="259.71300000000002"/>
  </r>
  <r>
    <x v="144"/>
    <x v="129"/>
    <x v="5"/>
    <s v="Formal"/>
    <x v="3"/>
    <x v="5"/>
    <x v="2"/>
    <n v="92.66"/>
    <n v="1"/>
    <n v="92.66"/>
    <x v="1"/>
    <s v="Low"/>
    <s v="Low"/>
    <n v="-195.91"/>
    <n v="0.1"/>
    <n v="83.394000000000005"/>
  </r>
  <r>
    <x v="145"/>
    <x v="130"/>
    <x v="3"/>
    <s v="Sports"/>
    <x v="3"/>
    <x v="3"/>
    <x v="1"/>
    <n v="38.119999999999997"/>
    <n v="2"/>
    <n v="76.239999999999995"/>
    <x v="6"/>
    <s v="Low"/>
    <s v="Low"/>
    <n v="-16.420000000000002"/>
    <n v="0.1"/>
    <n v="68.616"/>
  </r>
  <r>
    <x v="146"/>
    <x v="131"/>
    <x v="1"/>
    <s v="Casual"/>
    <x v="0"/>
    <x v="4"/>
    <x v="1"/>
    <n v="164.1"/>
    <n v="3"/>
    <n v="492.3"/>
    <x v="2"/>
    <s v="Low"/>
    <s v="Low"/>
    <n v="416.06"/>
    <n v="0.1"/>
    <n v="443.07"/>
  </r>
  <r>
    <x v="147"/>
    <x v="121"/>
    <x v="5"/>
    <s v="Running"/>
    <x v="1"/>
    <x v="0"/>
    <x v="1"/>
    <n v="140.59"/>
    <n v="7"/>
    <n v="984.13"/>
    <x v="3"/>
    <s v="Low"/>
    <s v="Average"/>
    <n v="491.83"/>
    <n v="0.1"/>
    <n v="885.71699999999998"/>
  </r>
  <r>
    <x v="148"/>
    <x v="132"/>
    <x v="3"/>
    <s v="Running"/>
    <x v="5"/>
    <x v="0"/>
    <x v="2"/>
    <n v="41.33"/>
    <n v="9"/>
    <n v="371.97"/>
    <x v="1"/>
    <s v="Low"/>
    <s v="Low"/>
    <n v="-612.16"/>
    <n v="0.1"/>
    <n v="334.77300000000002"/>
  </r>
  <r>
    <x v="149"/>
    <x v="133"/>
    <x v="4"/>
    <s v="Formal"/>
    <x v="5"/>
    <x v="6"/>
    <x v="1"/>
    <n v="91.3"/>
    <n v="19"/>
    <n v="1734.7"/>
    <x v="0"/>
    <s v="Low"/>
    <s v="Good"/>
    <n v="1362.73"/>
    <n v="0.1"/>
    <n v="1561.23"/>
  </r>
  <r>
    <x v="150"/>
    <x v="76"/>
    <x v="4"/>
    <s v="Sneakers"/>
    <x v="1"/>
    <x v="6"/>
    <x v="2"/>
    <n v="229.82"/>
    <n v="13"/>
    <n v="2987.66"/>
    <x v="7"/>
    <s v="High"/>
    <s v="Good"/>
    <n v="1252.9599999999998"/>
    <n v="0.1"/>
    <n v="2688.8939999999998"/>
  </r>
  <r>
    <x v="151"/>
    <x v="134"/>
    <x v="0"/>
    <s v="Formal"/>
    <x v="3"/>
    <x v="3"/>
    <x v="1"/>
    <n v="82.7"/>
    <n v="20"/>
    <n v="1654"/>
    <x v="4"/>
    <s v="Low"/>
    <s v="Good"/>
    <n v="-1333.6599999999999"/>
    <n v="0.1"/>
    <n v="1488.6000000000001"/>
  </r>
  <r>
    <x v="152"/>
    <x v="56"/>
    <x v="0"/>
    <s v="Casual"/>
    <x v="3"/>
    <x v="4"/>
    <x v="1"/>
    <n v="61.88"/>
    <n v="1"/>
    <n v="61.88"/>
    <x v="6"/>
    <s v="Low"/>
    <s v="Low"/>
    <n v="-1592.12"/>
    <n v="0.1"/>
    <n v="55.692"/>
  </r>
  <r>
    <x v="153"/>
    <x v="135"/>
    <x v="1"/>
    <s v="Sports"/>
    <x v="1"/>
    <x v="1"/>
    <x v="0"/>
    <n v="137.68"/>
    <n v="1"/>
    <n v="137.68"/>
    <x v="3"/>
    <s v="Low"/>
    <s v="Low"/>
    <n v="75.800000000000011"/>
    <n v="0.1"/>
    <n v="123.91200000000001"/>
  </r>
  <r>
    <x v="154"/>
    <x v="136"/>
    <x v="1"/>
    <s v="Formal"/>
    <x v="0"/>
    <x v="0"/>
    <x v="1"/>
    <n v="246.84"/>
    <n v="17"/>
    <n v="4196.28"/>
    <x v="2"/>
    <s v="High"/>
    <s v="Excellent"/>
    <n v="4058.6"/>
    <n v="0.1"/>
    <n v="3776.652"/>
  </r>
  <r>
    <x v="155"/>
    <x v="137"/>
    <x v="0"/>
    <s v="Formal"/>
    <x v="0"/>
    <x v="6"/>
    <x v="2"/>
    <n v="83.25"/>
    <n v="16"/>
    <n v="1332"/>
    <x v="2"/>
    <s v="Low"/>
    <s v="Average"/>
    <n v="-2864.2799999999997"/>
    <n v="0.1"/>
    <n v="1198.8"/>
  </r>
  <r>
    <x v="156"/>
    <x v="77"/>
    <x v="3"/>
    <s v="Sports"/>
    <x v="4"/>
    <x v="2"/>
    <x v="2"/>
    <n v="177.87"/>
    <n v="4"/>
    <n v="711.48"/>
    <x v="7"/>
    <s v="Low"/>
    <s v="Average"/>
    <n v="-620.52"/>
    <n v="0.1"/>
    <n v="640.33199999999999"/>
  </r>
  <r>
    <x v="157"/>
    <x v="138"/>
    <x v="2"/>
    <s v="Running"/>
    <x v="4"/>
    <x v="1"/>
    <x v="2"/>
    <n v="197.56"/>
    <n v="13"/>
    <n v="2568.2800000000002"/>
    <x v="6"/>
    <s v="High"/>
    <s v="Good"/>
    <n v="1856.8000000000002"/>
    <n v="0.1"/>
    <n v="2311.4520000000002"/>
  </r>
  <r>
    <x v="158"/>
    <x v="100"/>
    <x v="0"/>
    <s v="Formal"/>
    <x v="1"/>
    <x v="4"/>
    <x v="0"/>
    <n v="82.28"/>
    <n v="11"/>
    <n v="905.08"/>
    <x v="6"/>
    <s v="Low"/>
    <s v="Average"/>
    <n v="-1663.2000000000003"/>
    <n v="0.1"/>
    <n v="814.572"/>
  </r>
  <r>
    <x v="159"/>
    <x v="139"/>
    <x v="5"/>
    <s v="Formal"/>
    <x v="5"/>
    <x v="0"/>
    <x v="1"/>
    <n v="190.21"/>
    <n v="18"/>
    <n v="3423.78"/>
    <x v="8"/>
    <s v="High"/>
    <s v="Excellent"/>
    <n v="2518.7000000000003"/>
    <n v="0.1"/>
    <n v="3081.402"/>
  </r>
  <r>
    <x v="160"/>
    <x v="140"/>
    <x v="5"/>
    <s v="Boots"/>
    <x v="4"/>
    <x v="4"/>
    <x v="0"/>
    <n v="110.91"/>
    <n v="20"/>
    <n v="2218.1999999999998"/>
    <x v="5"/>
    <s v="High"/>
    <s v="Good"/>
    <n v="-1205.5800000000004"/>
    <n v="0.1"/>
    <n v="1996.3799999999999"/>
  </r>
  <r>
    <x v="161"/>
    <x v="141"/>
    <x v="2"/>
    <s v="Casual"/>
    <x v="0"/>
    <x v="6"/>
    <x v="1"/>
    <n v="169.11"/>
    <n v="9"/>
    <n v="1521.99"/>
    <x v="10"/>
    <s v="Low"/>
    <s v="Good"/>
    <n v="-696.20999999999981"/>
    <n v="0.1"/>
    <n v="1369.7909999999999"/>
  </r>
  <r>
    <x v="162"/>
    <x v="95"/>
    <x v="0"/>
    <s v="Boots"/>
    <x v="1"/>
    <x v="4"/>
    <x v="0"/>
    <n v="169.38"/>
    <n v="4"/>
    <n v="677.52"/>
    <x v="9"/>
    <s v="Low"/>
    <s v="Average"/>
    <n v="-844.47"/>
    <n v="0.1"/>
    <n v="609.76800000000003"/>
  </r>
  <r>
    <x v="163"/>
    <x v="142"/>
    <x v="4"/>
    <s v="Sneakers"/>
    <x v="5"/>
    <x v="5"/>
    <x v="2"/>
    <n v="147.87"/>
    <n v="6"/>
    <n v="887.22"/>
    <x v="8"/>
    <s v="Low"/>
    <s v="Average"/>
    <n v="209.70000000000005"/>
    <n v="0.1"/>
    <n v="798.49800000000005"/>
  </r>
  <r>
    <x v="164"/>
    <x v="143"/>
    <x v="0"/>
    <s v="Formal"/>
    <x v="5"/>
    <x v="2"/>
    <x v="0"/>
    <n v="49.86"/>
    <n v="8"/>
    <n v="398.88"/>
    <x v="4"/>
    <s v="Low"/>
    <s v="Low"/>
    <n v="-488.34000000000003"/>
    <n v="0.1"/>
    <n v="358.99200000000002"/>
  </r>
  <r>
    <x v="165"/>
    <x v="144"/>
    <x v="2"/>
    <s v="Boots"/>
    <x v="0"/>
    <x v="6"/>
    <x v="2"/>
    <n v="213.77"/>
    <n v="10"/>
    <n v="2137.6999999999998"/>
    <x v="9"/>
    <s v="High"/>
    <s v="Good"/>
    <n v="1738.8199999999997"/>
    <n v="0.1"/>
    <n v="1923.9299999999998"/>
  </r>
  <r>
    <x v="166"/>
    <x v="145"/>
    <x v="5"/>
    <s v="Sneakers"/>
    <x v="2"/>
    <x v="6"/>
    <x v="0"/>
    <n v="100.57"/>
    <n v="8"/>
    <n v="804.56"/>
    <x v="2"/>
    <s v="Low"/>
    <s v="Average"/>
    <n v="-1333.1399999999999"/>
    <n v="0.1"/>
    <n v="724.10399999999993"/>
  </r>
  <r>
    <x v="167"/>
    <x v="146"/>
    <x v="1"/>
    <s v="Casual"/>
    <x v="5"/>
    <x v="3"/>
    <x v="2"/>
    <n v="71.03"/>
    <n v="17"/>
    <n v="1207.51"/>
    <x v="0"/>
    <s v="Low"/>
    <s v="Average"/>
    <n v="402.95000000000005"/>
    <n v="0.1"/>
    <n v="1086.759"/>
  </r>
  <r>
    <x v="168"/>
    <x v="22"/>
    <x v="4"/>
    <s v="Running"/>
    <x v="0"/>
    <x v="2"/>
    <x v="2"/>
    <n v="38.97"/>
    <n v="17"/>
    <n v="662.49"/>
    <x v="7"/>
    <s v="Low"/>
    <s v="Average"/>
    <n v="-545.02"/>
    <n v="0.1"/>
    <n v="596.24099999999999"/>
  </r>
  <r>
    <x v="169"/>
    <x v="135"/>
    <x v="1"/>
    <s v="Formal"/>
    <x v="2"/>
    <x v="6"/>
    <x v="1"/>
    <n v="160"/>
    <n v="19"/>
    <n v="3040"/>
    <x v="3"/>
    <s v="High"/>
    <s v="Excellent"/>
    <n v="2377.5100000000002"/>
    <n v="0.1"/>
    <n v="2736"/>
  </r>
  <r>
    <x v="170"/>
    <x v="147"/>
    <x v="4"/>
    <s v="Sneakers"/>
    <x v="1"/>
    <x v="6"/>
    <x v="2"/>
    <n v="179.06"/>
    <n v="12"/>
    <n v="2148.7199999999998"/>
    <x v="9"/>
    <s v="High"/>
    <s v="Good"/>
    <n v="-891.2800000000002"/>
    <n v="0.1"/>
    <n v="1933.848"/>
  </r>
  <r>
    <x v="171"/>
    <x v="77"/>
    <x v="1"/>
    <s v="Casual"/>
    <x v="1"/>
    <x v="6"/>
    <x v="0"/>
    <n v="33.65"/>
    <n v="7"/>
    <n v="235.55"/>
    <x v="7"/>
    <s v="Low"/>
    <s v="Low"/>
    <n v="-1913.1699999999998"/>
    <n v="0.1"/>
    <n v="211.995"/>
  </r>
  <r>
    <x v="172"/>
    <x v="148"/>
    <x v="4"/>
    <s v="Boots"/>
    <x v="4"/>
    <x v="2"/>
    <x v="2"/>
    <n v="142.66"/>
    <n v="2"/>
    <n v="285.32"/>
    <x v="5"/>
    <s v="Low"/>
    <s v="Low"/>
    <n v="49.769999999999982"/>
    <n v="0.1"/>
    <n v="256.78800000000001"/>
  </r>
  <r>
    <x v="173"/>
    <x v="149"/>
    <x v="5"/>
    <s v="Running"/>
    <x v="2"/>
    <x v="5"/>
    <x v="1"/>
    <n v="79.83"/>
    <n v="5"/>
    <n v="399.15"/>
    <x v="5"/>
    <s v="Low"/>
    <s v="Low"/>
    <n v="113.82999999999998"/>
    <n v="0.1"/>
    <n v="359.23500000000001"/>
  </r>
  <r>
    <x v="174"/>
    <x v="92"/>
    <x v="5"/>
    <s v="Running"/>
    <x v="1"/>
    <x v="6"/>
    <x v="0"/>
    <n v="171.94"/>
    <n v="4"/>
    <n v="687.76"/>
    <x v="7"/>
    <s v="Low"/>
    <s v="Average"/>
    <n v="288.61"/>
    <n v="0.1"/>
    <n v="618.98400000000004"/>
  </r>
  <r>
    <x v="175"/>
    <x v="16"/>
    <x v="1"/>
    <s v="Casual"/>
    <x v="5"/>
    <x v="6"/>
    <x v="2"/>
    <n v="68.36"/>
    <n v="14"/>
    <n v="957.04"/>
    <x v="1"/>
    <s v="Low"/>
    <s v="Average"/>
    <n v="269.27999999999997"/>
    <n v="0.1"/>
    <n v="861.33600000000001"/>
  </r>
  <r>
    <x v="176"/>
    <x v="150"/>
    <x v="1"/>
    <s v="Formal"/>
    <x v="3"/>
    <x v="1"/>
    <x v="2"/>
    <n v="182.01"/>
    <n v="20"/>
    <n v="3640.2"/>
    <x v="7"/>
    <s v="High"/>
    <s v="Excellent"/>
    <n v="2683.16"/>
    <n v="0.1"/>
    <n v="3276.18"/>
  </r>
  <r>
    <x v="177"/>
    <x v="151"/>
    <x v="5"/>
    <s v="Sports"/>
    <x v="3"/>
    <x v="2"/>
    <x v="2"/>
    <n v="115.08"/>
    <n v="18"/>
    <n v="2071.44"/>
    <x v="8"/>
    <s v="High"/>
    <s v="Good"/>
    <n v="-1568.7599999999998"/>
    <n v="0.1"/>
    <n v="1864.296"/>
  </r>
  <r>
    <x v="178"/>
    <x v="44"/>
    <x v="2"/>
    <s v="Running"/>
    <x v="2"/>
    <x v="2"/>
    <x v="1"/>
    <n v="236.08"/>
    <n v="2"/>
    <n v="472.16"/>
    <x v="3"/>
    <s v="Low"/>
    <s v="Low"/>
    <n v="-1599.28"/>
    <n v="0.1"/>
    <n v="424.94400000000002"/>
  </r>
  <r>
    <x v="179"/>
    <x v="138"/>
    <x v="1"/>
    <s v="Running"/>
    <x v="4"/>
    <x v="1"/>
    <x v="1"/>
    <n v="60.25"/>
    <n v="8"/>
    <n v="482"/>
    <x v="6"/>
    <s v="Low"/>
    <s v="Low"/>
    <n v="9.839999999999975"/>
    <n v="0.1"/>
    <n v="433.8"/>
  </r>
  <r>
    <x v="180"/>
    <x v="52"/>
    <x v="5"/>
    <s v="Casual"/>
    <x v="3"/>
    <x v="3"/>
    <x v="0"/>
    <n v="105.03"/>
    <n v="4"/>
    <n v="420.12"/>
    <x v="8"/>
    <s v="Low"/>
    <s v="Low"/>
    <n v="-61.879999999999995"/>
    <n v="0.1"/>
    <n v="378.108"/>
  </r>
  <r>
    <x v="181"/>
    <x v="152"/>
    <x v="0"/>
    <s v="Sports"/>
    <x v="0"/>
    <x v="3"/>
    <x v="2"/>
    <n v="54.96"/>
    <n v="11"/>
    <n v="604.55999999999995"/>
    <x v="11"/>
    <s v="Low"/>
    <s v="Average"/>
    <n v="184.43999999999994"/>
    <n v="0.1"/>
    <n v="544.10399999999993"/>
  </r>
  <r>
    <x v="182"/>
    <x v="153"/>
    <x v="2"/>
    <s v="Formal"/>
    <x v="1"/>
    <x v="2"/>
    <x v="0"/>
    <n v="233.43"/>
    <n v="8"/>
    <n v="1867.44"/>
    <x v="1"/>
    <s v="Low"/>
    <s v="Good"/>
    <n v="1262.8800000000001"/>
    <n v="0.1"/>
    <n v="1680.6960000000001"/>
  </r>
  <r>
    <x v="183"/>
    <x v="154"/>
    <x v="0"/>
    <s v="Sneakers"/>
    <x v="4"/>
    <x v="5"/>
    <x v="1"/>
    <n v="223.01"/>
    <n v="6"/>
    <n v="1338.06"/>
    <x v="1"/>
    <s v="Low"/>
    <s v="Average"/>
    <n v="-529.38000000000011"/>
    <n v="0.1"/>
    <n v="1204.2539999999999"/>
  </r>
  <r>
    <x v="184"/>
    <x v="155"/>
    <x v="2"/>
    <s v="Casual"/>
    <x v="2"/>
    <x v="6"/>
    <x v="1"/>
    <n v="86.75"/>
    <n v="16"/>
    <n v="1388"/>
    <x v="6"/>
    <s v="Low"/>
    <s v="Average"/>
    <n v="49.940000000000055"/>
    <n v="0.1"/>
    <n v="1249.2"/>
  </r>
  <r>
    <x v="185"/>
    <x v="156"/>
    <x v="4"/>
    <s v="Boots"/>
    <x v="5"/>
    <x v="4"/>
    <x v="2"/>
    <n v="175.2"/>
    <n v="15"/>
    <n v="2628"/>
    <x v="6"/>
    <s v="High"/>
    <s v="Good"/>
    <n v="1240"/>
    <n v="0.1"/>
    <n v="2365.2000000000003"/>
  </r>
  <r>
    <x v="186"/>
    <x v="138"/>
    <x v="3"/>
    <s v="Running"/>
    <x v="4"/>
    <x v="3"/>
    <x v="1"/>
    <n v="209.79"/>
    <n v="18"/>
    <n v="3776.22"/>
    <x v="6"/>
    <s v="High"/>
    <s v="Excellent"/>
    <n v="1148.2199999999998"/>
    <n v="0.1"/>
    <n v="3398.598"/>
  </r>
  <r>
    <x v="187"/>
    <x v="157"/>
    <x v="1"/>
    <s v="Sports"/>
    <x v="4"/>
    <x v="4"/>
    <x v="2"/>
    <n v="152.13999999999999"/>
    <n v="14"/>
    <n v="2129.96"/>
    <x v="7"/>
    <s v="High"/>
    <s v="Good"/>
    <n v="-1646.2599999999998"/>
    <n v="0.1"/>
    <n v="1916.9640000000002"/>
  </r>
  <r>
    <x v="188"/>
    <x v="158"/>
    <x v="5"/>
    <s v="Running"/>
    <x v="2"/>
    <x v="6"/>
    <x v="1"/>
    <n v="146.52000000000001"/>
    <n v="13"/>
    <n v="1904.76"/>
    <x v="10"/>
    <s v="Low"/>
    <s v="Good"/>
    <n v="-225.20000000000005"/>
    <n v="0.1"/>
    <n v="1714.2840000000001"/>
  </r>
  <r>
    <x v="189"/>
    <x v="61"/>
    <x v="4"/>
    <s v="Boots"/>
    <x v="0"/>
    <x v="1"/>
    <x v="1"/>
    <n v="83.21"/>
    <n v="19"/>
    <n v="1580.99"/>
    <x v="5"/>
    <s v="Low"/>
    <s v="Good"/>
    <n v="-323.77"/>
    <n v="0.1"/>
    <n v="1422.8910000000001"/>
  </r>
  <r>
    <x v="190"/>
    <x v="159"/>
    <x v="0"/>
    <s v="Sneakers"/>
    <x v="3"/>
    <x v="4"/>
    <x v="1"/>
    <n v="50.48"/>
    <n v="9"/>
    <n v="454.32"/>
    <x v="5"/>
    <s v="Low"/>
    <s v="Low"/>
    <n v="-1126.67"/>
    <n v="0.1"/>
    <n v="408.88799999999998"/>
  </r>
  <r>
    <x v="191"/>
    <x v="160"/>
    <x v="1"/>
    <s v="Formal"/>
    <x v="0"/>
    <x v="4"/>
    <x v="0"/>
    <n v="227.39"/>
    <n v="20"/>
    <n v="4547.8"/>
    <x v="11"/>
    <s v="High"/>
    <s v="Excellent"/>
    <n v="4093.48"/>
    <n v="0.1"/>
    <n v="4093.0200000000004"/>
  </r>
  <r>
    <x v="192"/>
    <x v="128"/>
    <x v="3"/>
    <s v="Boots"/>
    <x v="2"/>
    <x v="5"/>
    <x v="2"/>
    <n v="228.09"/>
    <n v="12"/>
    <n v="2737.08"/>
    <x v="0"/>
    <s v="High"/>
    <s v="Good"/>
    <n v="-1810.7200000000003"/>
    <n v="0.1"/>
    <n v="2463.3719999999998"/>
  </r>
  <r>
    <x v="193"/>
    <x v="67"/>
    <x v="1"/>
    <s v="Running"/>
    <x v="3"/>
    <x v="2"/>
    <x v="0"/>
    <n v="169.28"/>
    <n v="5"/>
    <n v="846.4"/>
    <x v="8"/>
    <s v="Low"/>
    <s v="Average"/>
    <n v="-1890.6799999999998"/>
    <n v="0.1"/>
    <n v="761.76"/>
  </r>
  <r>
    <x v="194"/>
    <x v="73"/>
    <x v="0"/>
    <s v="Sneakers"/>
    <x v="0"/>
    <x v="2"/>
    <x v="0"/>
    <n v="104.59"/>
    <n v="15"/>
    <n v="1568.85"/>
    <x v="7"/>
    <s v="Low"/>
    <s v="Good"/>
    <n v="722.44999999999993"/>
    <n v="0.1"/>
    <n v="1411.9649999999999"/>
  </r>
  <r>
    <x v="195"/>
    <x v="161"/>
    <x v="4"/>
    <s v="Boots"/>
    <x v="4"/>
    <x v="0"/>
    <x v="0"/>
    <n v="106.83"/>
    <n v="10"/>
    <n v="1068.3"/>
    <x v="4"/>
    <s v="Low"/>
    <s v="Average"/>
    <n v="-500.54999999999995"/>
    <n v="0.1"/>
    <n v="961.47"/>
  </r>
  <r>
    <x v="196"/>
    <x v="162"/>
    <x v="4"/>
    <s v="Sneakers"/>
    <x v="1"/>
    <x v="3"/>
    <x v="0"/>
    <n v="189.71"/>
    <n v="18"/>
    <n v="3414.78"/>
    <x v="1"/>
    <s v="High"/>
    <s v="Excellent"/>
    <n v="2346.4800000000005"/>
    <n v="0.1"/>
    <n v="3073.3020000000001"/>
  </r>
  <r>
    <x v="197"/>
    <x v="163"/>
    <x v="4"/>
    <s v="Boots"/>
    <x v="0"/>
    <x v="4"/>
    <x v="0"/>
    <n v="227.36"/>
    <n v="16"/>
    <n v="3637.76"/>
    <x v="6"/>
    <s v="High"/>
    <s v="Excellent"/>
    <n v="222.98000000000002"/>
    <n v="0.1"/>
    <n v="3273.9840000000004"/>
  </r>
  <r>
    <x v="198"/>
    <x v="164"/>
    <x v="3"/>
    <s v="Casual"/>
    <x v="3"/>
    <x v="2"/>
    <x v="1"/>
    <n v="225.16"/>
    <n v="3"/>
    <n v="675.48"/>
    <x v="2"/>
    <s v="Low"/>
    <s v="Average"/>
    <n v="-2962.28"/>
    <n v="0.1"/>
    <n v="607.93200000000002"/>
  </r>
  <r>
    <x v="199"/>
    <x v="165"/>
    <x v="4"/>
    <s v="Running"/>
    <x v="4"/>
    <x v="1"/>
    <x v="2"/>
    <n v="201.57"/>
    <n v="18"/>
    <n v="3628.26"/>
    <x v="5"/>
    <s v="High"/>
    <s v="Excellent"/>
    <n v="2952.78"/>
    <n v="0.1"/>
    <n v="3265.4340000000002"/>
  </r>
  <r>
    <x v="200"/>
    <x v="166"/>
    <x v="5"/>
    <s v="Sports"/>
    <x v="3"/>
    <x v="2"/>
    <x v="1"/>
    <n v="171.25"/>
    <n v="4"/>
    <n v="685"/>
    <x v="3"/>
    <s v="Low"/>
    <s v="Average"/>
    <n v="-2943.26"/>
    <n v="0.1"/>
    <n v="616.5"/>
  </r>
  <r>
    <x v="201"/>
    <x v="17"/>
    <x v="5"/>
    <s v="Boots"/>
    <x v="0"/>
    <x v="1"/>
    <x v="1"/>
    <n v="48.51"/>
    <n v="19"/>
    <n v="921.69"/>
    <x v="6"/>
    <s v="Low"/>
    <s v="Average"/>
    <n v="236.69000000000005"/>
    <n v="0.1"/>
    <n v="829.52100000000007"/>
  </r>
  <r>
    <x v="202"/>
    <x v="167"/>
    <x v="0"/>
    <s v="Sneakers"/>
    <x v="1"/>
    <x v="3"/>
    <x v="1"/>
    <n v="65.56"/>
    <n v="16"/>
    <n v="1048.96"/>
    <x v="10"/>
    <s v="Low"/>
    <s v="Average"/>
    <n v="127.26999999999998"/>
    <n v="0.1"/>
    <n v="944.06400000000008"/>
  </r>
  <r>
    <x v="203"/>
    <x v="168"/>
    <x v="1"/>
    <s v="Formal"/>
    <x v="3"/>
    <x v="3"/>
    <x v="1"/>
    <n v="227.68"/>
    <n v="3"/>
    <n v="683.04"/>
    <x v="10"/>
    <s v="Low"/>
    <s v="Average"/>
    <n v="-365.92000000000007"/>
    <n v="0.1"/>
    <n v="614.73599999999999"/>
  </r>
  <r>
    <x v="204"/>
    <x v="169"/>
    <x v="3"/>
    <s v="Running"/>
    <x v="5"/>
    <x v="3"/>
    <x v="2"/>
    <n v="163.41"/>
    <n v="4"/>
    <n v="653.64"/>
    <x v="5"/>
    <s v="Low"/>
    <s v="Average"/>
    <n v="-29.399999999999977"/>
    <n v="0.1"/>
    <n v="588.27599999999995"/>
  </r>
  <r>
    <x v="205"/>
    <x v="170"/>
    <x v="3"/>
    <s v="Sneakers"/>
    <x v="2"/>
    <x v="6"/>
    <x v="2"/>
    <n v="32.020000000000003"/>
    <n v="4"/>
    <n v="128.08000000000001"/>
    <x v="1"/>
    <s v="Low"/>
    <s v="Low"/>
    <n v="-525.55999999999995"/>
    <n v="0.1"/>
    <n v="115.27200000000002"/>
  </r>
  <r>
    <x v="206"/>
    <x v="171"/>
    <x v="5"/>
    <s v="Sneakers"/>
    <x v="3"/>
    <x v="2"/>
    <x v="0"/>
    <n v="52.32"/>
    <n v="18"/>
    <n v="941.76"/>
    <x v="5"/>
    <s v="Low"/>
    <s v="Average"/>
    <n v="813.68"/>
    <n v="0.1"/>
    <n v="847.58400000000006"/>
  </r>
  <r>
    <x v="207"/>
    <x v="172"/>
    <x v="5"/>
    <s v="Sneakers"/>
    <x v="4"/>
    <x v="3"/>
    <x v="0"/>
    <n v="175.97"/>
    <n v="4"/>
    <n v="703.88"/>
    <x v="2"/>
    <s v="Low"/>
    <s v="Average"/>
    <n v="-237.88"/>
    <n v="0.1"/>
    <n v="633.49199999999996"/>
  </r>
  <r>
    <x v="208"/>
    <x v="29"/>
    <x v="3"/>
    <s v="Formal"/>
    <x v="4"/>
    <x v="0"/>
    <x v="2"/>
    <n v="31.11"/>
    <n v="12"/>
    <n v="373.32"/>
    <x v="8"/>
    <s v="Low"/>
    <s v="Low"/>
    <n v="-330.56"/>
    <n v="0.1"/>
    <n v="335.988"/>
  </r>
  <r>
    <x v="209"/>
    <x v="39"/>
    <x v="2"/>
    <s v="Boots"/>
    <x v="0"/>
    <x v="1"/>
    <x v="2"/>
    <n v="65.38"/>
    <n v="12"/>
    <n v="784.56"/>
    <x v="4"/>
    <s v="Low"/>
    <s v="Average"/>
    <n v="411.23999999999995"/>
    <n v="0.1"/>
    <n v="706.10399999999993"/>
  </r>
  <r>
    <x v="210"/>
    <x v="173"/>
    <x v="0"/>
    <s v="Formal"/>
    <x v="5"/>
    <x v="2"/>
    <x v="0"/>
    <n v="150.72"/>
    <n v="7"/>
    <n v="1055.04"/>
    <x v="6"/>
    <s v="Low"/>
    <s v="Average"/>
    <n v="270.48"/>
    <n v="0.1"/>
    <n v="949.53599999999994"/>
  </r>
  <r>
    <x v="211"/>
    <x v="174"/>
    <x v="0"/>
    <s v="Running"/>
    <x v="0"/>
    <x v="0"/>
    <x v="0"/>
    <n v="182.22"/>
    <n v="20"/>
    <n v="3644.4"/>
    <x v="0"/>
    <s v="High"/>
    <s v="Excellent"/>
    <n v="2589.36"/>
    <n v="0.1"/>
    <n v="3279.96"/>
  </r>
  <r>
    <x v="212"/>
    <x v="175"/>
    <x v="0"/>
    <s v="Sneakers"/>
    <x v="2"/>
    <x v="5"/>
    <x v="0"/>
    <n v="173.43"/>
    <n v="7"/>
    <n v="1214.01"/>
    <x v="3"/>
    <s v="Low"/>
    <s v="Average"/>
    <n v="-2430.3900000000003"/>
    <n v="0.1"/>
    <n v="1092.6089999999999"/>
  </r>
  <r>
    <x v="213"/>
    <x v="167"/>
    <x v="3"/>
    <s v="Sneakers"/>
    <x v="5"/>
    <x v="3"/>
    <x v="0"/>
    <n v="79.34"/>
    <n v="11"/>
    <n v="872.74"/>
    <x v="10"/>
    <s v="Low"/>
    <s v="Average"/>
    <n v="-341.27"/>
    <n v="0.1"/>
    <n v="785.46600000000001"/>
  </r>
  <r>
    <x v="214"/>
    <x v="176"/>
    <x v="4"/>
    <s v="Casual"/>
    <x v="5"/>
    <x v="2"/>
    <x v="0"/>
    <n v="186.68"/>
    <n v="18"/>
    <n v="3360.24"/>
    <x v="1"/>
    <s v="High"/>
    <s v="Excellent"/>
    <n v="2487.5"/>
    <n v="0.1"/>
    <n v="3024.2159999999999"/>
  </r>
  <r>
    <x v="215"/>
    <x v="162"/>
    <x v="4"/>
    <s v="Casual"/>
    <x v="1"/>
    <x v="3"/>
    <x v="0"/>
    <n v="82.19"/>
    <n v="1"/>
    <n v="82.19"/>
    <x v="1"/>
    <s v="Low"/>
    <s v="Low"/>
    <n v="-3278.0499999999997"/>
    <n v="0.1"/>
    <n v="73.971000000000004"/>
  </r>
  <r>
    <x v="216"/>
    <x v="75"/>
    <x v="0"/>
    <s v="Casual"/>
    <x v="3"/>
    <x v="6"/>
    <x v="1"/>
    <n v="101.59"/>
    <n v="9"/>
    <n v="914.31"/>
    <x v="1"/>
    <s v="Low"/>
    <s v="Average"/>
    <n v="832.11999999999989"/>
    <n v="0.1"/>
    <n v="822.87900000000002"/>
  </r>
  <r>
    <x v="217"/>
    <x v="177"/>
    <x v="5"/>
    <s v="Formal"/>
    <x v="0"/>
    <x v="5"/>
    <x v="1"/>
    <n v="194.23"/>
    <n v="3"/>
    <n v="582.69000000000005"/>
    <x v="4"/>
    <s v="Low"/>
    <s v="Average"/>
    <n v="-331.61999999999989"/>
    <n v="0.1"/>
    <n v="524.42100000000005"/>
  </r>
  <r>
    <x v="218"/>
    <x v="178"/>
    <x v="2"/>
    <s v="Casual"/>
    <x v="1"/>
    <x v="1"/>
    <x v="1"/>
    <n v="172.92"/>
    <n v="15"/>
    <n v="2593.8000000000002"/>
    <x v="4"/>
    <s v="High"/>
    <s v="Good"/>
    <n v="2011.1100000000001"/>
    <n v="0.1"/>
    <n v="2334.42"/>
  </r>
  <r>
    <x v="219"/>
    <x v="179"/>
    <x v="4"/>
    <s v="Formal"/>
    <x v="3"/>
    <x v="1"/>
    <x v="0"/>
    <n v="216.83"/>
    <n v="17"/>
    <n v="3686.11"/>
    <x v="8"/>
    <s v="High"/>
    <s v="Excellent"/>
    <n v="1092.31"/>
    <n v="0.1"/>
    <n v="3317.4990000000003"/>
  </r>
  <r>
    <x v="220"/>
    <x v="180"/>
    <x v="5"/>
    <s v="Boots"/>
    <x v="5"/>
    <x v="6"/>
    <x v="1"/>
    <n v="174.67"/>
    <n v="13"/>
    <n v="2270.71"/>
    <x v="9"/>
    <s v="High"/>
    <s v="Good"/>
    <n v="-1415.4"/>
    <n v="0.1"/>
    <n v="2043.6390000000001"/>
  </r>
  <r>
    <x v="221"/>
    <x v="181"/>
    <x v="0"/>
    <s v="Sports"/>
    <x v="1"/>
    <x v="0"/>
    <x v="0"/>
    <n v="155.03"/>
    <n v="3"/>
    <n v="465.09"/>
    <x v="2"/>
    <s v="Low"/>
    <s v="Low"/>
    <n v="-1805.6200000000001"/>
    <n v="0.1"/>
    <n v="418.58099999999996"/>
  </r>
  <r>
    <x v="222"/>
    <x v="27"/>
    <x v="2"/>
    <s v="Boots"/>
    <x v="1"/>
    <x v="5"/>
    <x v="1"/>
    <n v="50.61"/>
    <n v="9"/>
    <n v="455.49"/>
    <x v="1"/>
    <s v="Low"/>
    <s v="Low"/>
    <n v="-9.5999999999999659"/>
    <n v="0.1"/>
    <n v="409.94100000000003"/>
  </r>
  <r>
    <x v="223"/>
    <x v="182"/>
    <x v="2"/>
    <s v="Sneakers"/>
    <x v="0"/>
    <x v="6"/>
    <x v="1"/>
    <n v="110.9"/>
    <n v="13"/>
    <n v="1441.7"/>
    <x v="7"/>
    <s v="Low"/>
    <s v="Average"/>
    <n v="986.21"/>
    <n v="0.1"/>
    <n v="1297.53"/>
  </r>
  <r>
    <x v="224"/>
    <x v="7"/>
    <x v="0"/>
    <s v="Boots"/>
    <x v="5"/>
    <x v="4"/>
    <x v="1"/>
    <n v="88.34"/>
    <n v="14"/>
    <n v="1236.76"/>
    <x v="0"/>
    <s v="Low"/>
    <s v="Average"/>
    <n v="-204.94000000000005"/>
    <n v="0.1"/>
    <n v="1113.0840000000001"/>
  </r>
  <r>
    <x v="225"/>
    <x v="183"/>
    <x v="1"/>
    <s v="Casual"/>
    <x v="4"/>
    <x v="6"/>
    <x v="0"/>
    <n v="83.68"/>
    <n v="18"/>
    <n v="1506.24"/>
    <x v="0"/>
    <s v="Low"/>
    <s v="Good"/>
    <n v="269.48"/>
    <n v="0.1"/>
    <n v="1355.616"/>
  </r>
  <r>
    <x v="226"/>
    <x v="184"/>
    <x v="5"/>
    <s v="Formal"/>
    <x v="4"/>
    <x v="2"/>
    <x v="0"/>
    <n v="244.06"/>
    <n v="11"/>
    <n v="2684.66"/>
    <x v="5"/>
    <s v="High"/>
    <s v="Good"/>
    <n v="1178.4199999999998"/>
    <n v="0.1"/>
    <n v="2416.194"/>
  </r>
  <r>
    <x v="227"/>
    <x v="69"/>
    <x v="4"/>
    <s v="Boots"/>
    <x v="0"/>
    <x v="3"/>
    <x v="0"/>
    <n v="116.48"/>
    <n v="14"/>
    <n v="1630.72"/>
    <x v="7"/>
    <s v="Low"/>
    <s v="Good"/>
    <n v="-1053.9399999999998"/>
    <n v="0.1"/>
    <n v="1467.6480000000001"/>
  </r>
  <r>
    <x v="228"/>
    <x v="185"/>
    <x v="0"/>
    <s v="Running"/>
    <x v="5"/>
    <x v="1"/>
    <x v="2"/>
    <n v="226.25"/>
    <n v="16"/>
    <n v="3620"/>
    <x v="8"/>
    <s v="High"/>
    <s v="Excellent"/>
    <n v="1989.28"/>
    <n v="0.1"/>
    <n v="3258"/>
  </r>
  <r>
    <x v="229"/>
    <x v="35"/>
    <x v="3"/>
    <s v="Sneakers"/>
    <x v="5"/>
    <x v="5"/>
    <x v="1"/>
    <n v="168.85"/>
    <n v="12"/>
    <n v="2026.2"/>
    <x v="4"/>
    <s v="High"/>
    <s v="Good"/>
    <n v="-1593.8"/>
    <n v="0.1"/>
    <n v="1823.5800000000002"/>
  </r>
  <r>
    <x v="230"/>
    <x v="186"/>
    <x v="1"/>
    <s v="Running"/>
    <x v="4"/>
    <x v="3"/>
    <x v="1"/>
    <n v="204.86"/>
    <n v="11"/>
    <n v="2253.46"/>
    <x v="3"/>
    <s v="High"/>
    <s v="Good"/>
    <n v="227.26"/>
    <n v="0.1"/>
    <n v="2028.114"/>
  </r>
  <r>
    <x v="231"/>
    <x v="2"/>
    <x v="4"/>
    <s v="Sneakers"/>
    <x v="0"/>
    <x v="3"/>
    <x v="0"/>
    <n v="140.58000000000001"/>
    <n v="2"/>
    <n v="281.16000000000003"/>
    <x v="2"/>
    <s v="Low"/>
    <s v="Low"/>
    <n v="-1972.3"/>
    <n v="0.1"/>
    <n v="253.04400000000004"/>
  </r>
  <r>
    <x v="232"/>
    <x v="9"/>
    <x v="3"/>
    <s v="Casual"/>
    <x v="3"/>
    <x v="6"/>
    <x v="0"/>
    <n v="156.91999999999999"/>
    <n v="17"/>
    <n v="2667.64"/>
    <x v="3"/>
    <s v="High"/>
    <s v="Good"/>
    <n v="2386.48"/>
    <n v="0.1"/>
    <n v="2400.8759999999997"/>
  </r>
  <r>
    <x v="233"/>
    <x v="178"/>
    <x v="2"/>
    <s v="Sports"/>
    <x v="5"/>
    <x v="4"/>
    <x v="2"/>
    <n v="138.35"/>
    <n v="12"/>
    <n v="1660.2"/>
    <x v="4"/>
    <s v="Low"/>
    <s v="Good"/>
    <n v="-1007.4399999999998"/>
    <n v="0.1"/>
    <n v="1494.18"/>
  </r>
  <r>
    <x v="234"/>
    <x v="125"/>
    <x v="5"/>
    <s v="Sneakers"/>
    <x v="1"/>
    <x v="5"/>
    <x v="1"/>
    <n v="72.95"/>
    <n v="8"/>
    <n v="583.6"/>
    <x v="3"/>
    <s v="Low"/>
    <s v="Average"/>
    <n v="-1076.5999999999999"/>
    <n v="0.1"/>
    <n v="525.24"/>
  </r>
  <r>
    <x v="235"/>
    <x v="187"/>
    <x v="0"/>
    <s v="Sneakers"/>
    <x v="3"/>
    <x v="4"/>
    <x v="1"/>
    <n v="188.94"/>
    <n v="18"/>
    <n v="3400.92"/>
    <x v="0"/>
    <s v="High"/>
    <s v="Excellent"/>
    <n v="2817.32"/>
    <n v="0.1"/>
    <n v="3060.828"/>
  </r>
  <r>
    <x v="236"/>
    <x v="12"/>
    <x v="3"/>
    <s v="Sports"/>
    <x v="3"/>
    <x v="4"/>
    <x v="2"/>
    <n v="91.77"/>
    <n v="1"/>
    <n v="91.77"/>
    <x v="6"/>
    <s v="Low"/>
    <s v="Low"/>
    <n v="-3309.15"/>
    <n v="0.1"/>
    <n v="82.593000000000004"/>
  </r>
  <r>
    <x v="237"/>
    <x v="150"/>
    <x v="0"/>
    <s v="Casual"/>
    <x v="2"/>
    <x v="5"/>
    <x v="1"/>
    <n v="35.35"/>
    <n v="12"/>
    <n v="424.2"/>
    <x v="7"/>
    <s v="Low"/>
    <s v="Low"/>
    <n v="332.43"/>
    <n v="0.1"/>
    <n v="381.78"/>
  </r>
  <r>
    <x v="238"/>
    <x v="188"/>
    <x v="3"/>
    <s v="Boots"/>
    <x v="3"/>
    <x v="1"/>
    <x v="0"/>
    <n v="172"/>
    <n v="3"/>
    <n v="516"/>
    <x v="5"/>
    <s v="Low"/>
    <s v="Average"/>
    <n v="91.800000000000011"/>
    <n v="0.1"/>
    <n v="464.40000000000003"/>
  </r>
  <r>
    <x v="239"/>
    <x v="189"/>
    <x v="5"/>
    <s v="Formal"/>
    <x v="4"/>
    <x v="3"/>
    <x v="0"/>
    <n v="68.959999999999994"/>
    <n v="7"/>
    <n v="482.72"/>
    <x v="9"/>
    <s v="Low"/>
    <s v="Low"/>
    <n v="-33.279999999999973"/>
    <n v="0.1"/>
    <n v="434.44800000000004"/>
  </r>
  <r>
    <x v="240"/>
    <x v="171"/>
    <x v="1"/>
    <s v="Sports"/>
    <x v="1"/>
    <x v="5"/>
    <x v="0"/>
    <n v="236.9"/>
    <n v="10"/>
    <n v="2369"/>
    <x v="5"/>
    <s v="High"/>
    <s v="Good"/>
    <n v="1886.28"/>
    <n v="0.1"/>
    <n v="2132.1"/>
  </r>
  <r>
    <x v="241"/>
    <x v="126"/>
    <x v="3"/>
    <s v="Sneakers"/>
    <x v="5"/>
    <x v="2"/>
    <x v="0"/>
    <n v="239.86"/>
    <n v="5"/>
    <n v="1199.3"/>
    <x v="11"/>
    <s v="Low"/>
    <s v="Average"/>
    <n v="-1169.7"/>
    <n v="0.1"/>
    <n v="1079.3699999999999"/>
  </r>
  <r>
    <x v="242"/>
    <x v="190"/>
    <x v="1"/>
    <s v="Formal"/>
    <x v="4"/>
    <x v="5"/>
    <x v="2"/>
    <n v="231.27"/>
    <n v="15"/>
    <n v="3469.05"/>
    <x v="6"/>
    <s v="High"/>
    <s v="Excellent"/>
    <n v="2269.75"/>
    <n v="0.1"/>
    <n v="3122.1450000000004"/>
  </r>
  <r>
    <x v="243"/>
    <x v="172"/>
    <x v="3"/>
    <s v="Sneakers"/>
    <x v="5"/>
    <x v="3"/>
    <x v="2"/>
    <n v="111.43"/>
    <n v="9"/>
    <n v="1002.87"/>
    <x v="2"/>
    <s v="Low"/>
    <s v="Average"/>
    <n v="-2466.1800000000003"/>
    <n v="0.1"/>
    <n v="902.58299999999997"/>
  </r>
  <r>
    <x v="244"/>
    <x v="191"/>
    <x v="1"/>
    <s v="Boots"/>
    <x v="1"/>
    <x v="6"/>
    <x v="1"/>
    <n v="33.4"/>
    <n v="10"/>
    <n v="334"/>
    <x v="4"/>
    <s v="Low"/>
    <s v="Low"/>
    <n v="-668.87"/>
    <n v="0.1"/>
    <n v="300.60000000000002"/>
  </r>
  <r>
    <x v="245"/>
    <x v="192"/>
    <x v="0"/>
    <s v="Casual"/>
    <x v="4"/>
    <x v="5"/>
    <x v="0"/>
    <n v="234.23"/>
    <n v="10"/>
    <n v="2342.3000000000002"/>
    <x v="8"/>
    <s v="High"/>
    <s v="Good"/>
    <n v="2008.3000000000002"/>
    <n v="0.1"/>
    <n v="2108.0700000000002"/>
  </r>
  <r>
    <x v="246"/>
    <x v="94"/>
    <x v="4"/>
    <s v="Casual"/>
    <x v="2"/>
    <x v="4"/>
    <x v="2"/>
    <n v="124.2"/>
    <n v="7"/>
    <n v="869.4"/>
    <x v="11"/>
    <s v="Low"/>
    <s v="Average"/>
    <n v="-1472.9"/>
    <n v="0.1"/>
    <n v="782.46"/>
  </r>
  <r>
    <x v="247"/>
    <x v="10"/>
    <x v="0"/>
    <s v="Running"/>
    <x v="4"/>
    <x v="2"/>
    <x v="2"/>
    <n v="242.66"/>
    <n v="11"/>
    <n v="2669.26"/>
    <x v="6"/>
    <s v="High"/>
    <s v="Good"/>
    <n v="1799.8600000000001"/>
    <n v="0.1"/>
    <n v="2402.3340000000003"/>
  </r>
  <r>
    <x v="248"/>
    <x v="75"/>
    <x v="5"/>
    <s v="Sneakers"/>
    <x v="3"/>
    <x v="0"/>
    <x v="1"/>
    <n v="242"/>
    <n v="5"/>
    <n v="1210"/>
    <x v="1"/>
    <s v="Low"/>
    <s v="Average"/>
    <n v="-1459.2600000000002"/>
    <n v="0.1"/>
    <n v="1089"/>
  </r>
  <r>
    <x v="249"/>
    <x v="62"/>
    <x v="0"/>
    <s v="Formal"/>
    <x v="3"/>
    <x v="1"/>
    <x v="2"/>
    <n v="217.66"/>
    <n v="12"/>
    <n v="2611.92"/>
    <x v="3"/>
    <s v="High"/>
    <s v="Good"/>
    <n v="1401.92"/>
    <n v="0.1"/>
    <n v="2350.7280000000001"/>
  </r>
  <r>
    <x v="250"/>
    <x v="193"/>
    <x v="0"/>
    <s v="Sports"/>
    <x v="1"/>
    <x v="6"/>
    <x v="1"/>
    <n v="94.78"/>
    <n v="15"/>
    <n v="1421.7"/>
    <x v="11"/>
    <s v="Low"/>
    <s v="Average"/>
    <n v="-1190.22"/>
    <n v="0.1"/>
    <n v="1279.53"/>
  </r>
  <r>
    <x v="251"/>
    <x v="194"/>
    <x v="4"/>
    <s v="Running"/>
    <x v="4"/>
    <x v="1"/>
    <x v="2"/>
    <n v="114.72"/>
    <n v="14"/>
    <n v="1606.08"/>
    <x v="5"/>
    <s v="Low"/>
    <s v="Good"/>
    <n v="184.37999999999988"/>
    <n v="0.1"/>
    <n v="1445.472"/>
  </r>
  <r>
    <x v="252"/>
    <x v="154"/>
    <x v="5"/>
    <s v="Boots"/>
    <x v="0"/>
    <x v="1"/>
    <x v="2"/>
    <n v="217.25"/>
    <n v="20"/>
    <n v="4345"/>
    <x v="1"/>
    <s v="High"/>
    <s v="Excellent"/>
    <n v="2738.92"/>
    <n v="0.1"/>
    <n v="3910.5"/>
  </r>
  <r>
    <x v="253"/>
    <x v="54"/>
    <x v="5"/>
    <s v="Sneakers"/>
    <x v="4"/>
    <x v="5"/>
    <x v="0"/>
    <n v="99.72"/>
    <n v="8"/>
    <n v="797.76"/>
    <x v="4"/>
    <s v="Low"/>
    <s v="Average"/>
    <n v="-3547.24"/>
    <n v="0.1"/>
    <n v="717.98400000000004"/>
  </r>
  <r>
    <x v="254"/>
    <x v="159"/>
    <x v="1"/>
    <s v="Sports"/>
    <x v="2"/>
    <x v="3"/>
    <x v="0"/>
    <n v="67.290000000000006"/>
    <n v="10"/>
    <n v="672.9"/>
    <x v="5"/>
    <s v="Low"/>
    <s v="Average"/>
    <n v="-124.86000000000001"/>
    <n v="0.1"/>
    <n v="605.61"/>
  </r>
  <r>
    <x v="255"/>
    <x v="195"/>
    <x v="1"/>
    <s v="Running"/>
    <x v="1"/>
    <x v="5"/>
    <x v="0"/>
    <n v="152.5"/>
    <n v="17"/>
    <n v="2592.5"/>
    <x v="4"/>
    <s v="High"/>
    <s v="Good"/>
    <n v="1919.6"/>
    <n v="0.1"/>
    <n v="2333.25"/>
  </r>
  <r>
    <x v="256"/>
    <x v="196"/>
    <x v="1"/>
    <s v="Boots"/>
    <x v="2"/>
    <x v="0"/>
    <x v="0"/>
    <n v="235.95"/>
    <n v="12"/>
    <n v="2831.4"/>
    <x v="7"/>
    <s v="High"/>
    <s v="Good"/>
    <n v="238.90000000000009"/>
    <n v="0.1"/>
    <n v="2548.2600000000002"/>
  </r>
  <r>
    <x v="257"/>
    <x v="153"/>
    <x v="3"/>
    <s v="Casual"/>
    <x v="1"/>
    <x v="0"/>
    <x v="1"/>
    <n v="183.13"/>
    <n v="9"/>
    <n v="1648.17"/>
    <x v="1"/>
    <s v="Low"/>
    <s v="Good"/>
    <n v="-1183.23"/>
    <n v="0.1"/>
    <n v="1483.3530000000001"/>
  </r>
  <r>
    <x v="258"/>
    <x v="59"/>
    <x v="1"/>
    <s v="Formal"/>
    <x v="4"/>
    <x v="4"/>
    <x v="1"/>
    <n v="155.41"/>
    <n v="6"/>
    <n v="932.46"/>
    <x v="4"/>
    <s v="Low"/>
    <s v="Average"/>
    <n v="-715.71"/>
    <n v="0.1"/>
    <n v="839.21400000000006"/>
  </r>
  <r>
    <x v="259"/>
    <x v="197"/>
    <x v="1"/>
    <s v="Sneakers"/>
    <x v="3"/>
    <x v="2"/>
    <x v="1"/>
    <n v="51.38"/>
    <n v="15"/>
    <n v="770.7"/>
    <x v="3"/>
    <s v="Low"/>
    <s v="Average"/>
    <n v="-161.76"/>
    <n v="0.1"/>
    <n v="693.63000000000011"/>
  </r>
  <r>
    <x v="260"/>
    <x v="198"/>
    <x v="3"/>
    <s v="Formal"/>
    <x v="5"/>
    <x v="6"/>
    <x v="2"/>
    <n v="165.3"/>
    <n v="11"/>
    <n v="1818.3"/>
    <x v="7"/>
    <s v="Low"/>
    <s v="Good"/>
    <n v="1047.5999999999999"/>
    <n v="0.1"/>
    <n v="1636.47"/>
  </r>
  <r>
    <x v="261"/>
    <x v="199"/>
    <x v="4"/>
    <s v="Sneakers"/>
    <x v="5"/>
    <x v="3"/>
    <x v="1"/>
    <n v="247.81"/>
    <n v="10"/>
    <n v="2478.1"/>
    <x v="0"/>
    <s v="High"/>
    <s v="Good"/>
    <n v="659.8"/>
    <n v="0.1"/>
    <n v="2230.29"/>
  </r>
  <r>
    <x v="262"/>
    <x v="50"/>
    <x v="5"/>
    <s v="Formal"/>
    <x v="5"/>
    <x v="1"/>
    <x v="2"/>
    <n v="60.82"/>
    <n v="10"/>
    <n v="608.20000000000005"/>
    <x v="4"/>
    <s v="Low"/>
    <s v="Average"/>
    <n v="-1869.8999999999999"/>
    <n v="0.1"/>
    <n v="547.38000000000011"/>
  </r>
  <r>
    <x v="263"/>
    <x v="42"/>
    <x v="1"/>
    <s v="Running"/>
    <x v="1"/>
    <x v="5"/>
    <x v="1"/>
    <n v="144.03"/>
    <n v="3"/>
    <n v="432.09"/>
    <x v="6"/>
    <s v="Low"/>
    <s v="Low"/>
    <n v="-176.11000000000007"/>
    <n v="0.1"/>
    <n v="388.88099999999997"/>
  </r>
  <r>
    <x v="264"/>
    <x v="200"/>
    <x v="2"/>
    <s v="Sneakers"/>
    <x v="3"/>
    <x v="1"/>
    <x v="2"/>
    <n v="223.02"/>
    <n v="15"/>
    <n v="3345.3"/>
    <x v="5"/>
    <s v="High"/>
    <s v="Excellent"/>
    <n v="2913.21"/>
    <n v="0.1"/>
    <n v="3010.7700000000004"/>
  </r>
  <r>
    <x v="265"/>
    <x v="201"/>
    <x v="4"/>
    <s v="Sneakers"/>
    <x v="4"/>
    <x v="5"/>
    <x v="0"/>
    <n v="192.97"/>
    <n v="7"/>
    <n v="1350.79"/>
    <x v="3"/>
    <s v="Low"/>
    <s v="Average"/>
    <n v="-1994.5100000000002"/>
    <n v="0.1"/>
    <n v="1215.711"/>
  </r>
  <r>
    <x v="266"/>
    <x v="202"/>
    <x v="0"/>
    <s v="Sports"/>
    <x v="3"/>
    <x v="1"/>
    <x v="1"/>
    <n v="183.34"/>
    <n v="15"/>
    <n v="2750.1"/>
    <x v="4"/>
    <s v="High"/>
    <s v="Good"/>
    <n v="1399.31"/>
    <n v="0.1"/>
    <n v="2475.09"/>
  </r>
  <r>
    <x v="267"/>
    <x v="203"/>
    <x v="0"/>
    <s v="Casual"/>
    <x v="3"/>
    <x v="6"/>
    <x v="2"/>
    <n v="184.55"/>
    <n v="6"/>
    <n v="1107.3"/>
    <x v="0"/>
    <s v="Low"/>
    <s v="Average"/>
    <n v="-1642.8"/>
    <n v="0.1"/>
    <n v="996.56999999999994"/>
  </r>
  <r>
    <x v="268"/>
    <x v="204"/>
    <x v="2"/>
    <s v="Casual"/>
    <x v="0"/>
    <x v="3"/>
    <x v="2"/>
    <n v="109.09"/>
    <n v="17"/>
    <n v="1854.53"/>
    <x v="9"/>
    <s v="Low"/>
    <s v="Good"/>
    <n v="747.23"/>
    <n v="0.1"/>
    <n v="1669.077"/>
  </r>
  <r>
    <x v="269"/>
    <x v="205"/>
    <x v="4"/>
    <s v="Boots"/>
    <x v="1"/>
    <x v="1"/>
    <x v="1"/>
    <n v="94.59"/>
    <n v="14"/>
    <n v="1324.26"/>
    <x v="5"/>
    <s v="Low"/>
    <s v="Average"/>
    <n v="-530.27"/>
    <n v="0.1"/>
    <n v="1191.8340000000001"/>
  </r>
  <r>
    <x v="270"/>
    <x v="206"/>
    <x v="0"/>
    <s v="Sports"/>
    <x v="5"/>
    <x v="5"/>
    <x v="1"/>
    <n v="208.06"/>
    <n v="11"/>
    <n v="2288.66"/>
    <x v="0"/>
    <s v="High"/>
    <s v="Good"/>
    <n v="964.39999999999986"/>
    <n v="0.1"/>
    <n v="2059.7939999999999"/>
  </r>
  <r>
    <x v="271"/>
    <x v="149"/>
    <x v="4"/>
    <s v="Boots"/>
    <x v="3"/>
    <x v="5"/>
    <x v="0"/>
    <n v="208.22"/>
    <n v="10"/>
    <n v="2082.1999999999998"/>
    <x v="5"/>
    <s v="High"/>
    <s v="Good"/>
    <n v="-206.46000000000004"/>
    <n v="0.1"/>
    <n v="1873.9799999999998"/>
  </r>
  <r>
    <x v="272"/>
    <x v="207"/>
    <x v="2"/>
    <s v="Boots"/>
    <x v="2"/>
    <x v="3"/>
    <x v="2"/>
    <n v="220.76"/>
    <n v="3"/>
    <n v="662.28"/>
    <x v="7"/>
    <s v="Low"/>
    <s v="Average"/>
    <n v="-1419.9199999999998"/>
    <n v="0.1"/>
    <n v="596.05200000000002"/>
  </r>
  <r>
    <x v="273"/>
    <x v="208"/>
    <x v="3"/>
    <s v="Sneakers"/>
    <x v="3"/>
    <x v="1"/>
    <x v="2"/>
    <n v="230.91"/>
    <n v="13"/>
    <n v="3001.83"/>
    <x v="8"/>
    <s v="High"/>
    <s v="Excellent"/>
    <n v="2339.5500000000002"/>
    <n v="0.1"/>
    <n v="2701.6469999999999"/>
  </r>
  <r>
    <x v="274"/>
    <x v="62"/>
    <x v="1"/>
    <s v="Sports"/>
    <x v="2"/>
    <x v="2"/>
    <x v="1"/>
    <n v="142.5"/>
    <n v="13"/>
    <n v="1852.5"/>
    <x v="3"/>
    <s v="Low"/>
    <s v="Good"/>
    <n v="-1149.33"/>
    <n v="0.1"/>
    <n v="1667.25"/>
  </r>
  <r>
    <x v="275"/>
    <x v="209"/>
    <x v="0"/>
    <s v="Boots"/>
    <x v="3"/>
    <x v="6"/>
    <x v="1"/>
    <n v="140.33000000000001"/>
    <n v="17"/>
    <n v="2385.61"/>
    <x v="8"/>
    <s v="High"/>
    <s v="Good"/>
    <n v="533.11000000000013"/>
    <n v="0.1"/>
    <n v="2147.049"/>
  </r>
  <r>
    <x v="276"/>
    <x v="140"/>
    <x v="4"/>
    <s v="Sports"/>
    <x v="2"/>
    <x v="0"/>
    <x v="2"/>
    <n v="205.62"/>
    <n v="1"/>
    <n v="205.62"/>
    <x v="5"/>
    <s v="Low"/>
    <s v="Low"/>
    <n v="-2179.9900000000002"/>
    <n v="0.1"/>
    <n v="185.05800000000002"/>
  </r>
  <r>
    <x v="277"/>
    <x v="95"/>
    <x v="3"/>
    <s v="Casual"/>
    <x v="2"/>
    <x v="1"/>
    <x v="2"/>
    <n v="172.99"/>
    <n v="7"/>
    <n v="1210.93"/>
    <x v="9"/>
    <s v="Low"/>
    <s v="Average"/>
    <n v="1005.3100000000001"/>
    <n v="0.1"/>
    <n v="1089.837"/>
  </r>
  <r>
    <x v="278"/>
    <x v="210"/>
    <x v="2"/>
    <s v="Boots"/>
    <x v="1"/>
    <x v="1"/>
    <x v="1"/>
    <n v="184.43"/>
    <n v="17"/>
    <n v="3135.31"/>
    <x v="4"/>
    <s v="High"/>
    <s v="Excellent"/>
    <n v="1924.3799999999999"/>
    <n v="0.1"/>
    <n v="2821.779"/>
  </r>
  <r>
    <x v="279"/>
    <x v="211"/>
    <x v="3"/>
    <s v="Sneakers"/>
    <x v="4"/>
    <x v="0"/>
    <x v="0"/>
    <n v="205.07"/>
    <n v="20"/>
    <n v="4101.3999999999996"/>
    <x v="7"/>
    <s v="High"/>
    <s v="Excellent"/>
    <n v="966.08999999999969"/>
    <n v="0.1"/>
    <n v="3691.2599999999998"/>
  </r>
  <r>
    <x v="280"/>
    <x v="212"/>
    <x v="3"/>
    <s v="Boots"/>
    <x v="4"/>
    <x v="1"/>
    <x v="2"/>
    <n v="225.8"/>
    <n v="20"/>
    <n v="4516"/>
    <x v="10"/>
    <s v="High"/>
    <s v="Excellent"/>
    <n v="414.60000000000036"/>
    <n v="0.1"/>
    <n v="4064.4"/>
  </r>
  <r>
    <x v="281"/>
    <x v="213"/>
    <x v="5"/>
    <s v="Sneakers"/>
    <x v="0"/>
    <x v="4"/>
    <x v="1"/>
    <n v="104.36"/>
    <n v="8"/>
    <n v="834.88"/>
    <x v="5"/>
    <s v="Low"/>
    <s v="Average"/>
    <n v="-3681.12"/>
    <n v="0.1"/>
    <n v="751.39200000000005"/>
  </r>
  <r>
    <x v="282"/>
    <x v="214"/>
    <x v="2"/>
    <s v="Casual"/>
    <x v="0"/>
    <x v="4"/>
    <x v="2"/>
    <n v="112.63"/>
    <n v="8"/>
    <n v="901.04"/>
    <x v="2"/>
    <s v="Low"/>
    <s v="Average"/>
    <n v="66.159999999999968"/>
    <n v="0.1"/>
    <n v="810.93600000000004"/>
  </r>
  <r>
    <x v="283"/>
    <x v="215"/>
    <x v="1"/>
    <s v="Sneakers"/>
    <x v="4"/>
    <x v="6"/>
    <x v="2"/>
    <n v="50.68"/>
    <n v="12"/>
    <n v="608.16"/>
    <x v="10"/>
    <s v="Low"/>
    <s v="Average"/>
    <n v="-292.88"/>
    <n v="0.1"/>
    <n v="547.34399999999994"/>
  </r>
  <r>
    <x v="284"/>
    <x v="20"/>
    <x v="2"/>
    <s v="Formal"/>
    <x v="2"/>
    <x v="4"/>
    <x v="0"/>
    <n v="157.22"/>
    <n v="17"/>
    <n v="2672.74"/>
    <x v="5"/>
    <s v="High"/>
    <s v="Good"/>
    <n v="2064.58"/>
    <n v="0.1"/>
    <n v="2405.4659999999999"/>
  </r>
  <r>
    <x v="285"/>
    <x v="7"/>
    <x v="4"/>
    <s v="Running"/>
    <x v="3"/>
    <x v="6"/>
    <x v="2"/>
    <n v="37.909999999999997"/>
    <n v="5"/>
    <n v="189.55"/>
    <x v="0"/>
    <s v="Low"/>
    <s v="Low"/>
    <n v="-2483.1899999999996"/>
    <n v="0.1"/>
    <n v="170.59500000000003"/>
  </r>
  <r>
    <x v="286"/>
    <x v="53"/>
    <x v="1"/>
    <s v="Sneakers"/>
    <x v="5"/>
    <x v="3"/>
    <x v="0"/>
    <n v="132.43"/>
    <n v="4"/>
    <n v="529.72"/>
    <x v="3"/>
    <s v="Low"/>
    <s v="Average"/>
    <n v="340.17"/>
    <n v="0.1"/>
    <n v="476.74800000000005"/>
  </r>
  <r>
    <x v="287"/>
    <x v="216"/>
    <x v="5"/>
    <s v="Sneakers"/>
    <x v="2"/>
    <x v="4"/>
    <x v="2"/>
    <n v="149.38"/>
    <n v="9"/>
    <n v="1344.42"/>
    <x v="1"/>
    <s v="Low"/>
    <s v="Average"/>
    <n v="814.7"/>
    <n v="0.1"/>
    <n v="1209.9780000000001"/>
  </r>
  <r>
    <x v="288"/>
    <x v="161"/>
    <x v="5"/>
    <s v="Sports"/>
    <x v="5"/>
    <x v="6"/>
    <x v="0"/>
    <n v="93.04"/>
    <n v="8"/>
    <n v="744.32"/>
    <x v="4"/>
    <s v="Low"/>
    <s v="Average"/>
    <n v="-600.1"/>
    <n v="0.1"/>
    <n v="669.88800000000003"/>
  </r>
  <r>
    <x v="289"/>
    <x v="159"/>
    <x v="4"/>
    <s v="Casual"/>
    <x v="4"/>
    <x v="1"/>
    <x v="2"/>
    <n v="159.97999999999999"/>
    <n v="17"/>
    <n v="2719.66"/>
    <x v="5"/>
    <s v="High"/>
    <s v="Good"/>
    <n v="1975.3399999999997"/>
    <n v="0.1"/>
    <n v="2447.694"/>
  </r>
  <r>
    <x v="290"/>
    <x v="217"/>
    <x v="4"/>
    <s v="Running"/>
    <x v="3"/>
    <x v="2"/>
    <x v="2"/>
    <n v="36.71"/>
    <n v="1"/>
    <n v="36.71"/>
    <x v="10"/>
    <s v="Low"/>
    <s v="Low"/>
    <n v="-2682.95"/>
    <n v="0.1"/>
    <n v="33.039000000000001"/>
  </r>
  <r>
    <x v="291"/>
    <x v="153"/>
    <x v="0"/>
    <s v="Sports"/>
    <x v="4"/>
    <x v="2"/>
    <x v="0"/>
    <n v="38.22"/>
    <n v="5"/>
    <n v="191.1"/>
    <x v="1"/>
    <s v="Low"/>
    <s v="Low"/>
    <n v="154.38999999999999"/>
    <n v="0.1"/>
    <n v="171.99"/>
  </r>
  <r>
    <x v="292"/>
    <x v="218"/>
    <x v="5"/>
    <s v="Sneakers"/>
    <x v="5"/>
    <x v="1"/>
    <x v="0"/>
    <n v="210.97"/>
    <n v="16"/>
    <n v="3375.52"/>
    <x v="8"/>
    <s v="High"/>
    <s v="Excellent"/>
    <n v="3184.42"/>
    <n v="0.1"/>
    <n v="3037.9679999999998"/>
  </r>
  <r>
    <x v="293"/>
    <x v="163"/>
    <x v="3"/>
    <s v="Sneakers"/>
    <x v="3"/>
    <x v="5"/>
    <x v="1"/>
    <n v="109.24"/>
    <n v="7"/>
    <n v="764.68"/>
    <x v="6"/>
    <s v="Low"/>
    <s v="Average"/>
    <n v="-2610.84"/>
    <n v="0.1"/>
    <n v="688.21199999999999"/>
  </r>
  <r>
    <x v="294"/>
    <x v="2"/>
    <x v="4"/>
    <s v="Casual"/>
    <x v="0"/>
    <x v="1"/>
    <x v="0"/>
    <n v="57.95"/>
    <n v="4"/>
    <n v="231.8"/>
    <x v="2"/>
    <s v="Low"/>
    <s v="Low"/>
    <n v="-532.87999999999988"/>
    <n v="0.1"/>
    <n v="208.62"/>
  </r>
  <r>
    <x v="295"/>
    <x v="219"/>
    <x v="1"/>
    <s v="Sneakers"/>
    <x v="4"/>
    <x v="1"/>
    <x v="0"/>
    <n v="144.88999999999999"/>
    <n v="14"/>
    <n v="2028.46"/>
    <x v="6"/>
    <s v="High"/>
    <s v="Good"/>
    <n v="1796.66"/>
    <n v="0.1"/>
    <n v="1825.614"/>
  </r>
  <r>
    <x v="296"/>
    <x v="144"/>
    <x v="2"/>
    <s v="Running"/>
    <x v="3"/>
    <x v="5"/>
    <x v="1"/>
    <n v="199.4"/>
    <n v="20"/>
    <n v="3988"/>
    <x v="9"/>
    <s v="High"/>
    <s v="Excellent"/>
    <n v="1959.54"/>
    <n v="0.1"/>
    <n v="3589.2000000000003"/>
  </r>
  <r>
    <x v="297"/>
    <x v="155"/>
    <x v="4"/>
    <s v="Formal"/>
    <x v="5"/>
    <x v="5"/>
    <x v="2"/>
    <n v="77.48"/>
    <n v="5"/>
    <n v="387.4"/>
    <x v="6"/>
    <s v="Low"/>
    <s v="Low"/>
    <n v="-3600.6"/>
    <n v="0.1"/>
    <n v="348.65999999999997"/>
  </r>
  <r>
    <x v="298"/>
    <x v="155"/>
    <x v="5"/>
    <s v="Casual"/>
    <x v="3"/>
    <x v="2"/>
    <x v="0"/>
    <n v="167.04"/>
    <n v="19"/>
    <n v="3173.76"/>
    <x v="6"/>
    <s v="High"/>
    <s v="Excellent"/>
    <n v="2786.36"/>
    <n v="0.1"/>
    <n v="2856.3840000000005"/>
  </r>
  <r>
    <x v="299"/>
    <x v="204"/>
    <x v="0"/>
    <s v="Sneakers"/>
    <x v="1"/>
    <x v="5"/>
    <x v="1"/>
    <n v="48.78"/>
    <n v="12"/>
    <n v="585.36"/>
    <x v="9"/>
    <s v="Low"/>
    <s v="Average"/>
    <n v="-2588.4"/>
    <n v="0.1"/>
    <n v="526.82400000000007"/>
  </r>
  <r>
    <x v="300"/>
    <x v="53"/>
    <x v="5"/>
    <s v="Formal"/>
    <x v="5"/>
    <x v="2"/>
    <x v="2"/>
    <n v="41.37"/>
    <n v="1"/>
    <n v="41.37"/>
    <x v="3"/>
    <s v="Low"/>
    <s v="Low"/>
    <n v="-543.99"/>
    <n v="0.1"/>
    <n v="37.232999999999997"/>
  </r>
  <r>
    <x v="301"/>
    <x v="30"/>
    <x v="1"/>
    <s v="Running"/>
    <x v="0"/>
    <x v="4"/>
    <x v="0"/>
    <n v="146.9"/>
    <n v="9"/>
    <n v="1322.1"/>
    <x v="5"/>
    <s v="Low"/>
    <s v="Average"/>
    <n v="1280.73"/>
    <n v="0.1"/>
    <n v="1189.8899999999999"/>
  </r>
  <r>
    <x v="302"/>
    <x v="220"/>
    <x v="1"/>
    <s v="Boots"/>
    <x v="3"/>
    <x v="1"/>
    <x v="1"/>
    <n v="148.94"/>
    <n v="8"/>
    <n v="1191.52"/>
    <x v="7"/>
    <s v="Low"/>
    <s v="Average"/>
    <n v="-130.57999999999993"/>
    <n v="0.1"/>
    <n v="1072.3679999999999"/>
  </r>
  <r>
    <x v="303"/>
    <x v="207"/>
    <x v="0"/>
    <s v="Sports"/>
    <x v="1"/>
    <x v="3"/>
    <x v="1"/>
    <n v="170.23"/>
    <n v="5"/>
    <n v="851.15"/>
    <x v="7"/>
    <s v="Low"/>
    <s v="Average"/>
    <n v="-340.37"/>
    <n v="0.1"/>
    <n v="766.03499999999997"/>
  </r>
  <r>
    <x v="304"/>
    <x v="75"/>
    <x v="1"/>
    <s v="Formal"/>
    <x v="3"/>
    <x v="0"/>
    <x v="0"/>
    <n v="189.74"/>
    <n v="15"/>
    <n v="2846.1"/>
    <x v="1"/>
    <s v="High"/>
    <s v="Good"/>
    <n v="1994.9499999999998"/>
    <n v="0.1"/>
    <n v="2561.4899999999998"/>
  </r>
  <r>
    <x v="305"/>
    <x v="31"/>
    <x v="0"/>
    <s v="Sports"/>
    <x v="2"/>
    <x v="1"/>
    <x v="0"/>
    <n v="244.69"/>
    <n v="15"/>
    <n v="3670.35"/>
    <x v="4"/>
    <s v="High"/>
    <s v="Excellent"/>
    <n v="824.25"/>
    <n v="0.1"/>
    <n v="3303.3150000000001"/>
  </r>
  <r>
    <x v="306"/>
    <x v="221"/>
    <x v="4"/>
    <s v="Sneakers"/>
    <x v="4"/>
    <x v="4"/>
    <x v="1"/>
    <n v="143.59"/>
    <n v="11"/>
    <n v="1579.49"/>
    <x v="11"/>
    <s v="Low"/>
    <s v="Good"/>
    <n v="-2090.8599999999997"/>
    <n v="0.1"/>
    <n v="1421.5409999999999"/>
  </r>
  <r>
    <x v="307"/>
    <x v="78"/>
    <x v="0"/>
    <s v="Boots"/>
    <x v="2"/>
    <x v="3"/>
    <x v="2"/>
    <n v="101.05"/>
    <n v="9"/>
    <n v="909.45"/>
    <x v="2"/>
    <s v="Low"/>
    <s v="Average"/>
    <n v="-670.04"/>
    <n v="0.1"/>
    <n v="818.50500000000011"/>
  </r>
  <r>
    <x v="308"/>
    <x v="222"/>
    <x v="4"/>
    <s v="Running"/>
    <x v="0"/>
    <x v="6"/>
    <x v="2"/>
    <n v="204.94"/>
    <n v="11"/>
    <n v="2254.34"/>
    <x v="11"/>
    <s v="High"/>
    <s v="Good"/>
    <n v="1344.89"/>
    <n v="0.1"/>
    <n v="2028.9060000000002"/>
  </r>
  <r>
    <x v="309"/>
    <x v="89"/>
    <x v="4"/>
    <s v="Casual"/>
    <x v="4"/>
    <x v="2"/>
    <x v="2"/>
    <n v="89.58"/>
    <n v="13"/>
    <n v="1164.54"/>
    <x v="2"/>
    <s v="Low"/>
    <s v="Average"/>
    <n v="-1089.8000000000002"/>
    <n v="0.1"/>
    <n v="1048.086"/>
  </r>
  <r>
    <x v="310"/>
    <x v="103"/>
    <x v="4"/>
    <s v="Running"/>
    <x v="3"/>
    <x v="6"/>
    <x v="0"/>
    <n v="126.57"/>
    <n v="17"/>
    <n v="2151.69"/>
    <x v="5"/>
    <s v="High"/>
    <s v="Good"/>
    <n v="987.15000000000009"/>
    <n v="0.1"/>
    <n v="1936.5210000000002"/>
  </r>
  <r>
    <x v="311"/>
    <x v="223"/>
    <x v="3"/>
    <s v="Sneakers"/>
    <x v="0"/>
    <x v="3"/>
    <x v="0"/>
    <n v="47.26"/>
    <n v="20"/>
    <n v="945.2"/>
    <x v="2"/>
    <s v="Low"/>
    <s v="Average"/>
    <n v="-1206.49"/>
    <n v="0.1"/>
    <n v="850.68000000000006"/>
  </r>
  <r>
    <x v="312"/>
    <x v="26"/>
    <x v="1"/>
    <s v="Sports"/>
    <x v="0"/>
    <x v="6"/>
    <x v="1"/>
    <n v="35.58"/>
    <n v="11"/>
    <n v="391.38"/>
    <x v="4"/>
    <s v="Low"/>
    <s v="Low"/>
    <n v="-553.82000000000005"/>
    <n v="0.1"/>
    <n v="352.24200000000002"/>
  </r>
  <r>
    <x v="313"/>
    <x v="224"/>
    <x v="1"/>
    <s v="Formal"/>
    <x v="0"/>
    <x v="6"/>
    <x v="0"/>
    <n v="241.78"/>
    <n v="6"/>
    <n v="1450.68"/>
    <x v="2"/>
    <s v="Low"/>
    <s v="Average"/>
    <n v="1059.3000000000002"/>
    <n v="0.1"/>
    <n v="1305.6120000000001"/>
  </r>
  <r>
    <x v="314"/>
    <x v="118"/>
    <x v="5"/>
    <s v="Sports"/>
    <x v="3"/>
    <x v="4"/>
    <x v="0"/>
    <n v="213.92"/>
    <n v="20"/>
    <n v="4278.3999999999996"/>
    <x v="7"/>
    <s v="High"/>
    <s v="Excellent"/>
    <n v="2827.7199999999993"/>
    <n v="0.1"/>
    <n v="3850.56"/>
  </r>
  <r>
    <x v="315"/>
    <x v="59"/>
    <x v="4"/>
    <s v="Sneakers"/>
    <x v="3"/>
    <x v="2"/>
    <x v="0"/>
    <n v="183.11"/>
    <n v="13"/>
    <n v="2380.4299999999998"/>
    <x v="4"/>
    <s v="High"/>
    <s v="Good"/>
    <n v="-1897.9699999999998"/>
    <n v="0.1"/>
    <n v="2142.3869999999997"/>
  </r>
  <r>
    <x v="316"/>
    <x v="225"/>
    <x v="2"/>
    <s v="Boots"/>
    <x v="4"/>
    <x v="1"/>
    <x v="0"/>
    <n v="119.97"/>
    <n v="5"/>
    <n v="599.85"/>
    <x v="11"/>
    <s v="Low"/>
    <s v="Average"/>
    <n v="-1780.58"/>
    <n v="0.1"/>
    <n v="539.86500000000001"/>
  </r>
  <r>
    <x v="317"/>
    <x v="33"/>
    <x v="1"/>
    <s v="Sports"/>
    <x v="0"/>
    <x v="6"/>
    <x v="1"/>
    <n v="68.12"/>
    <n v="8"/>
    <n v="544.96"/>
    <x v="4"/>
    <s v="Low"/>
    <s v="Average"/>
    <n v="-54.889999999999986"/>
    <n v="0.1"/>
    <n v="490.46400000000006"/>
  </r>
  <r>
    <x v="318"/>
    <x v="226"/>
    <x v="3"/>
    <s v="Boots"/>
    <x v="4"/>
    <x v="3"/>
    <x v="2"/>
    <n v="64.42"/>
    <n v="20"/>
    <n v="1288.4000000000001"/>
    <x v="11"/>
    <s v="Low"/>
    <s v="Average"/>
    <n v="743.44"/>
    <n v="0.1"/>
    <n v="1159.5600000000002"/>
  </r>
  <r>
    <x v="319"/>
    <x v="181"/>
    <x v="2"/>
    <s v="Casual"/>
    <x v="1"/>
    <x v="3"/>
    <x v="2"/>
    <n v="85.05"/>
    <n v="3"/>
    <n v="255.15"/>
    <x v="2"/>
    <s v="Low"/>
    <s v="Low"/>
    <n v="-1033.25"/>
    <n v="0.1"/>
    <n v="229.63500000000002"/>
  </r>
  <r>
    <x v="320"/>
    <x v="69"/>
    <x v="3"/>
    <s v="Running"/>
    <x v="5"/>
    <x v="2"/>
    <x v="0"/>
    <n v="150.83000000000001"/>
    <n v="9"/>
    <n v="1357.47"/>
    <x v="7"/>
    <s v="Low"/>
    <s v="Average"/>
    <n v="1102.32"/>
    <n v="0.1"/>
    <n v="1221.723"/>
  </r>
  <r>
    <x v="321"/>
    <x v="144"/>
    <x v="5"/>
    <s v="Sneakers"/>
    <x v="5"/>
    <x v="3"/>
    <x v="2"/>
    <n v="187.21"/>
    <n v="17"/>
    <n v="3182.57"/>
    <x v="9"/>
    <s v="High"/>
    <s v="Excellent"/>
    <n v="1825.1000000000001"/>
    <n v="0.1"/>
    <n v="2864.3130000000001"/>
  </r>
  <r>
    <x v="322"/>
    <x v="52"/>
    <x v="3"/>
    <s v="Sneakers"/>
    <x v="0"/>
    <x v="2"/>
    <x v="2"/>
    <n v="175.24"/>
    <n v="15"/>
    <n v="2628.6"/>
    <x v="8"/>
    <s v="High"/>
    <s v="Good"/>
    <n v="-553.97000000000025"/>
    <n v="0.1"/>
    <n v="2365.7399999999998"/>
  </r>
  <r>
    <x v="323"/>
    <x v="227"/>
    <x v="3"/>
    <s v="Running"/>
    <x v="4"/>
    <x v="0"/>
    <x v="1"/>
    <n v="91.59"/>
    <n v="4"/>
    <n v="366.36"/>
    <x v="10"/>
    <s v="Low"/>
    <s v="Low"/>
    <n v="-2262.2399999999998"/>
    <n v="0.1"/>
    <n v="329.72400000000005"/>
  </r>
  <r>
    <x v="324"/>
    <x v="181"/>
    <x v="1"/>
    <s v="Sports"/>
    <x v="3"/>
    <x v="3"/>
    <x v="1"/>
    <n v="240.07"/>
    <n v="3"/>
    <n v="720.21"/>
    <x v="2"/>
    <s v="Low"/>
    <s v="Average"/>
    <n v="353.85"/>
    <n v="0.1"/>
    <n v="648.18900000000008"/>
  </r>
  <r>
    <x v="325"/>
    <x v="228"/>
    <x v="2"/>
    <s v="Sports"/>
    <x v="0"/>
    <x v="4"/>
    <x v="0"/>
    <n v="192.34"/>
    <n v="18"/>
    <n v="3462.12"/>
    <x v="4"/>
    <s v="High"/>
    <s v="Excellent"/>
    <n v="2741.91"/>
    <n v="0.1"/>
    <n v="3115.9079999999999"/>
  </r>
  <r>
    <x v="326"/>
    <x v="229"/>
    <x v="4"/>
    <s v="Sneakers"/>
    <x v="2"/>
    <x v="1"/>
    <x v="0"/>
    <n v="151.96"/>
    <n v="6"/>
    <n v="911.76"/>
    <x v="8"/>
    <s v="Low"/>
    <s v="Average"/>
    <n v="-2550.3599999999997"/>
    <n v="0.1"/>
    <n v="820.58400000000006"/>
  </r>
  <r>
    <x v="327"/>
    <x v="1"/>
    <x v="5"/>
    <s v="Running"/>
    <x v="0"/>
    <x v="5"/>
    <x v="1"/>
    <n v="164.58"/>
    <n v="8"/>
    <n v="1316.64"/>
    <x v="1"/>
    <s v="Low"/>
    <s v="Average"/>
    <n v="404.88000000000011"/>
    <n v="0.1"/>
    <n v="1184.9760000000001"/>
  </r>
  <r>
    <x v="328"/>
    <x v="103"/>
    <x v="2"/>
    <s v="Casual"/>
    <x v="1"/>
    <x v="1"/>
    <x v="0"/>
    <n v="122.31"/>
    <n v="15"/>
    <n v="1834.65"/>
    <x v="5"/>
    <s v="Low"/>
    <s v="Good"/>
    <n v="518.01"/>
    <n v="0.1"/>
    <n v="1651.1850000000002"/>
  </r>
  <r>
    <x v="329"/>
    <x v="73"/>
    <x v="1"/>
    <s v="Boots"/>
    <x v="4"/>
    <x v="5"/>
    <x v="2"/>
    <n v="84.5"/>
    <n v="13"/>
    <n v="1098.5"/>
    <x v="7"/>
    <s v="Low"/>
    <s v="Average"/>
    <n v="-736.15000000000009"/>
    <n v="0.1"/>
    <n v="988.65"/>
  </r>
  <r>
    <x v="330"/>
    <x v="169"/>
    <x v="0"/>
    <s v="Casual"/>
    <x v="0"/>
    <x v="2"/>
    <x v="0"/>
    <n v="108.31"/>
    <n v="19"/>
    <n v="2057.89"/>
    <x v="5"/>
    <s v="High"/>
    <s v="Good"/>
    <n v="959.38999999999987"/>
    <n v="0.1"/>
    <n v="1852.1009999999999"/>
  </r>
  <r>
    <x v="331"/>
    <x v="230"/>
    <x v="1"/>
    <s v="Sneakers"/>
    <x v="0"/>
    <x v="0"/>
    <x v="1"/>
    <n v="196.73"/>
    <n v="15"/>
    <n v="2950.95"/>
    <x v="2"/>
    <s v="High"/>
    <s v="Good"/>
    <n v="893.06"/>
    <n v="0.1"/>
    <n v="2655.855"/>
  </r>
  <r>
    <x v="332"/>
    <x v="0"/>
    <x v="3"/>
    <s v="Casual"/>
    <x v="4"/>
    <x v="5"/>
    <x v="0"/>
    <n v="33.17"/>
    <n v="19"/>
    <n v="630.23"/>
    <x v="0"/>
    <s v="Low"/>
    <s v="Average"/>
    <n v="-2320.7199999999998"/>
    <n v="0.1"/>
    <n v="567.20699999999999"/>
  </r>
  <r>
    <x v="333"/>
    <x v="231"/>
    <x v="3"/>
    <s v="Sports"/>
    <x v="2"/>
    <x v="0"/>
    <x v="2"/>
    <n v="55.54"/>
    <n v="17"/>
    <n v="944.18"/>
    <x v="1"/>
    <s v="Low"/>
    <s v="Average"/>
    <n v="313.94999999999993"/>
    <n v="0.1"/>
    <n v="849.76199999999994"/>
  </r>
  <r>
    <x v="334"/>
    <x v="142"/>
    <x v="4"/>
    <s v="Sneakers"/>
    <x v="0"/>
    <x v="4"/>
    <x v="0"/>
    <n v="40.119999999999997"/>
    <n v="8"/>
    <n v="320.95999999999998"/>
    <x v="8"/>
    <s v="Low"/>
    <s v="Low"/>
    <n v="-623.22"/>
    <n v="0.1"/>
    <n v="288.86399999999998"/>
  </r>
  <r>
    <x v="335"/>
    <x v="56"/>
    <x v="1"/>
    <s v="Sneakers"/>
    <x v="0"/>
    <x v="0"/>
    <x v="1"/>
    <n v="38.96"/>
    <n v="7"/>
    <n v="272.72000000000003"/>
    <x v="6"/>
    <s v="Low"/>
    <s v="Low"/>
    <n v="-48.239999999999952"/>
    <n v="0.1"/>
    <n v="245.44800000000004"/>
  </r>
  <r>
    <x v="336"/>
    <x v="76"/>
    <x v="2"/>
    <s v="Running"/>
    <x v="1"/>
    <x v="2"/>
    <x v="0"/>
    <n v="218.2"/>
    <n v="20"/>
    <n v="4364"/>
    <x v="7"/>
    <s v="High"/>
    <s v="Excellent"/>
    <n v="4091.2799999999997"/>
    <n v="0.1"/>
    <n v="3927.6"/>
  </r>
  <r>
    <x v="337"/>
    <x v="97"/>
    <x v="3"/>
    <s v="Casual"/>
    <x v="3"/>
    <x v="5"/>
    <x v="1"/>
    <n v="184.8"/>
    <n v="19"/>
    <n v="3511.2"/>
    <x v="3"/>
    <s v="High"/>
    <s v="Excellent"/>
    <n v="-852.80000000000018"/>
    <n v="0.1"/>
    <n v="3160.08"/>
  </r>
  <r>
    <x v="338"/>
    <x v="7"/>
    <x v="2"/>
    <s v="Running"/>
    <x v="5"/>
    <x v="1"/>
    <x v="0"/>
    <n v="134.32"/>
    <n v="11"/>
    <n v="1477.52"/>
    <x v="0"/>
    <s v="Low"/>
    <s v="Average"/>
    <n v="-2033.6799999999998"/>
    <n v="0.1"/>
    <n v="1329.768"/>
  </r>
  <r>
    <x v="339"/>
    <x v="174"/>
    <x v="4"/>
    <s v="Boots"/>
    <x v="2"/>
    <x v="4"/>
    <x v="1"/>
    <n v="51.52"/>
    <n v="19"/>
    <n v="978.88"/>
    <x v="0"/>
    <s v="Low"/>
    <s v="Average"/>
    <n v="-498.64"/>
    <n v="0.1"/>
    <n v="880.99199999999996"/>
  </r>
  <r>
    <x v="340"/>
    <x v="232"/>
    <x v="1"/>
    <s v="Running"/>
    <x v="4"/>
    <x v="2"/>
    <x v="1"/>
    <n v="138.16"/>
    <n v="20"/>
    <n v="2763.2"/>
    <x v="2"/>
    <s v="High"/>
    <s v="Good"/>
    <n v="1784.3199999999997"/>
    <n v="0.1"/>
    <n v="2486.88"/>
  </r>
  <r>
    <x v="341"/>
    <x v="10"/>
    <x v="5"/>
    <s v="Casual"/>
    <x v="3"/>
    <x v="6"/>
    <x v="2"/>
    <n v="134.16"/>
    <n v="10"/>
    <n v="1341.6"/>
    <x v="6"/>
    <s v="Low"/>
    <s v="Average"/>
    <n v="-1421.6"/>
    <n v="0.1"/>
    <n v="1207.44"/>
  </r>
  <r>
    <x v="342"/>
    <x v="131"/>
    <x v="1"/>
    <s v="Running"/>
    <x v="2"/>
    <x v="6"/>
    <x v="2"/>
    <n v="68.099999999999994"/>
    <n v="3"/>
    <n v="204.3"/>
    <x v="2"/>
    <s v="Low"/>
    <s v="Low"/>
    <n v="-1137.3"/>
    <n v="0.1"/>
    <n v="183.87"/>
  </r>
  <r>
    <x v="343"/>
    <x v="147"/>
    <x v="3"/>
    <s v="Sports"/>
    <x v="1"/>
    <x v="0"/>
    <x v="2"/>
    <n v="125.45"/>
    <n v="15"/>
    <n v="1881.75"/>
    <x v="9"/>
    <s v="Low"/>
    <s v="Good"/>
    <n v="1677.45"/>
    <n v="0.1"/>
    <n v="1693.575"/>
  </r>
  <r>
    <x v="344"/>
    <x v="90"/>
    <x v="5"/>
    <s v="Casual"/>
    <x v="0"/>
    <x v="5"/>
    <x v="1"/>
    <n v="117.67"/>
    <n v="12"/>
    <n v="1412.04"/>
    <x v="7"/>
    <s v="Low"/>
    <s v="Average"/>
    <n v="-469.71000000000004"/>
    <n v="0.1"/>
    <n v="1270.836"/>
  </r>
  <r>
    <x v="345"/>
    <x v="54"/>
    <x v="3"/>
    <s v="Formal"/>
    <x v="5"/>
    <x v="3"/>
    <x v="2"/>
    <n v="165.49"/>
    <n v="11"/>
    <n v="1820.39"/>
    <x v="4"/>
    <s v="Low"/>
    <s v="Good"/>
    <n v="408.35000000000014"/>
    <n v="0.1"/>
    <n v="1638.3510000000001"/>
  </r>
  <r>
    <x v="346"/>
    <x v="102"/>
    <x v="0"/>
    <s v="Running"/>
    <x v="0"/>
    <x v="6"/>
    <x v="1"/>
    <n v="169.72"/>
    <n v="5"/>
    <n v="848.6"/>
    <x v="6"/>
    <s v="Low"/>
    <s v="Average"/>
    <n v="-971.79000000000008"/>
    <n v="0.1"/>
    <n v="763.74"/>
  </r>
  <r>
    <x v="347"/>
    <x v="233"/>
    <x v="3"/>
    <s v="Sports"/>
    <x v="1"/>
    <x v="2"/>
    <x v="2"/>
    <n v="39.97"/>
    <n v="8"/>
    <n v="319.76"/>
    <x v="2"/>
    <s v="Low"/>
    <s v="Low"/>
    <n v="-528.84"/>
    <n v="0.1"/>
    <n v="287.78399999999999"/>
  </r>
  <r>
    <x v="348"/>
    <x v="70"/>
    <x v="5"/>
    <s v="Sneakers"/>
    <x v="4"/>
    <x v="6"/>
    <x v="2"/>
    <n v="112.41"/>
    <n v="6"/>
    <n v="674.46"/>
    <x v="10"/>
    <s v="Low"/>
    <s v="Average"/>
    <n v="354.70000000000005"/>
    <n v="0.1"/>
    <n v="607.01400000000001"/>
  </r>
  <r>
    <x v="349"/>
    <x v="234"/>
    <x v="0"/>
    <s v="Formal"/>
    <x v="1"/>
    <x v="6"/>
    <x v="0"/>
    <n v="167.69"/>
    <n v="1"/>
    <n v="167.69"/>
    <x v="9"/>
    <s v="Low"/>
    <s v="Low"/>
    <n v="-506.77000000000004"/>
    <n v="0.1"/>
    <n v="150.92099999999999"/>
  </r>
  <r>
    <x v="350"/>
    <x v="235"/>
    <x v="4"/>
    <s v="Running"/>
    <x v="5"/>
    <x v="3"/>
    <x v="2"/>
    <n v="140.69"/>
    <n v="19"/>
    <n v="2673.11"/>
    <x v="10"/>
    <s v="High"/>
    <s v="Good"/>
    <n v="2505.42"/>
    <n v="0.1"/>
    <n v="2405.799"/>
  </r>
  <r>
    <x v="351"/>
    <x v="236"/>
    <x v="4"/>
    <s v="Sneakers"/>
    <x v="5"/>
    <x v="4"/>
    <x v="0"/>
    <n v="218.43"/>
    <n v="16"/>
    <n v="3494.88"/>
    <x v="0"/>
    <s v="High"/>
    <s v="Excellent"/>
    <n v="821.77"/>
    <n v="0.1"/>
    <n v="3145.3920000000003"/>
  </r>
  <r>
    <x v="352"/>
    <x v="223"/>
    <x v="4"/>
    <s v="Boots"/>
    <x v="0"/>
    <x v="4"/>
    <x v="2"/>
    <n v="174.91"/>
    <n v="5"/>
    <n v="874.55"/>
    <x v="2"/>
    <s v="Low"/>
    <s v="Average"/>
    <n v="-2620.33"/>
    <n v="0.1"/>
    <n v="787.09500000000003"/>
  </r>
  <r>
    <x v="353"/>
    <x v="237"/>
    <x v="5"/>
    <s v="Running"/>
    <x v="1"/>
    <x v="5"/>
    <x v="0"/>
    <n v="65.849999999999994"/>
    <n v="2"/>
    <n v="131.69999999999999"/>
    <x v="5"/>
    <s v="Low"/>
    <s v="Low"/>
    <n v="-742.84999999999991"/>
    <n v="0.1"/>
    <n v="118.52999999999999"/>
  </r>
  <r>
    <x v="354"/>
    <x v="140"/>
    <x v="4"/>
    <s v="Running"/>
    <x v="4"/>
    <x v="5"/>
    <x v="2"/>
    <n v="45.53"/>
    <n v="18"/>
    <n v="819.54"/>
    <x v="5"/>
    <s v="Low"/>
    <s v="Average"/>
    <n v="687.83999999999992"/>
    <n v="0.1"/>
    <n v="737.58600000000001"/>
  </r>
  <r>
    <x v="355"/>
    <x v="238"/>
    <x v="2"/>
    <s v="Boots"/>
    <x v="1"/>
    <x v="1"/>
    <x v="0"/>
    <n v="171.33"/>
    <n v="9"/>
    <n v="1541.97"/>
    <x v="3"/>
    <s v="Low"/>
    <s v="Good"/>
    <n v="722.43000000000006"/>
    <n v="0.1"/>
    <n v="1387.7730000000001"/>
  </r>
  <r>
    <x v="356"/>
    <x v="35"/>
    <x v="4"/>
    <s v="Sports"/>
    <x v="1"/>
    <x v="3"/>
    <x v="0"/>
    <n v="35.83"/>
    <n v="13"/>
    <n v="465.79"/>
    <x v="4"/>
    <s v="Low"/>
    <s v="Low"/>
    <n v="-1076.18"/>
    <n v="0.1"/>
    <n v="419.21100000000001"/>
  </r>
  <r>
    <x v="357"/>
    <x v="158"/>
    <x v="2"/>
    <s v="Formal"/>
    <x v="1"/>
    <x v="1"/>
    <x v="0"/>
    <n v="158.87"/>
    <n v="20"/>
    <n v="3177.4"/>
    <x v="10"/>
    <s v="High"/>
    <s v="Excellent"/>
    <n v="2711.61"/>
    <n v="0.1"/>
    <n v="2859.6600000000003"/>
  </r>
  <r>
    <x v="358"/>
    <x v="64"/>
    <x v="1"/>
    <s v="Sports"/>
    <x v="4"/>
    <x v="5"/>
    <x v="2"/>
    <n v="236.85"/>
    <n v="5"/>
    <n v="1184.25"/>
    <x v="11"/>
    <s v="Low"/>
    <s v="Average"/>
    <n v="-1993.15"/>
    <n v="0.1"/>
    <n v="1065.825"/>
  </r>
  <r>
    <x v="359"/>
    <x v="132"/>
    <x v="2"/>
    <s v="Casual"/>
    <x v="0"/>
    <x v="5"/>
    <x v="2"/>
    <n v="156.6"/>
    <n v="20"/>
    <n v="3132"/>
    <x v="1"/>
    <s v="High"/>
    <s v="Excellent"/>
    <n v="1947.75"/>
    <n v="0.1"/>
    <n v="2818.8"/>
  </r>
  <r>
    <x v="360"/>
    <x v="104"/>
    <x v="2"/>
    <s v="Boots"/>
    <x v="0"/>
    <x v="5"/>
    <x v="2"/>
    <n v="115.4"/>
    <n v="13"/>
    <n v="1500.2"/>
    <x v="1"/>
    <s v="Low"/>
    <s v="Good"/>
    <n v="-1631.8"/>
    <n v="0.1"/>
    <n v="1350.18"/>
  </r>
  <r>
    <x v="361"/>
    <x v="239"/>
    <x v="2"/>
    <s v="Formal"/>
    <x v="3"/>
    <x v="5"/>
    <x v="2"/>
    <n v="171.52"/>
    <n v="17"/>
    <n v="2915.84"/>
    <x v="9"/>
    <s v="High"/>
    <s v="Good"/>
    <n v="1415.64"/>
    <n v="0.1"/>
    <n v="2624.2560000000003"/>
  </r>
  <r>
    <x v="362"/>
    <x v="240"/>
    <x v="4"/>
    <s v="Sports"/>
    <x v="3"/>
    <x v="1"/>
    <x v="2"/>
    <n v="130.82"/>
    <n v="1"/>
    <n v="130.82"/>
    <x v="9"/>
    <s v="Low"/>
    <s v="Low"/>
    <n v="-2785.02"/>
    <n v="0.1"/>
    <n v="117.738"/>
  </r>
  <r>
    <x v="363"/>
    <x v="241"/>
    <x v="1"/>
    <s v="Boots"/>
    <x v="3"/>
    <x v="1"/>
    <x v="1"/>
    <n v="150.04"/>
    <n v="10"/>
    <n v="1500.4"/>
    <x v="3"/>
    <s v="Low"/>
    <s v="Good"/>
    <n v="1369.5800000000002"/>
    <n v="0.1"/>
    <n v="1350.3600000000001"/>
  </r>
  <r>
    <x v="364"/>
    <x v="78"/>
    <x v="1"/>
    <s v="Sneakers"/>
    <x v="1"/>
    <x v="0"/>
    <x v="1"/>
    <n v="237.12"/>
    <n v="9"/>
    <n v="2134.08"/>
    <x v="2"/>
    <s v="High"/>
    <s v="Good"/>
    <n v="633.67999999999984"/>
    <n v="0.1"/>
    <n v="1920.672"/>
  </r>
  <r>
    <x v="365"/>
    <x v="126"/>
    <x v="5"/>
    <s v="Casual"/>
    <x v="1"/>
    <x v="2"/>
    <x v="1"/>
    <n v="114.94"/>
    <n v="19"/>
    <n v="2183.86"/>
    <x v="11"/>
    <s v="High"/>
    <s v="Good"/>
    <n v="49.7800000000002"/>
    <n v="0.1"/>
    <n v="1965.4740000000002"/>
  </r>
  <r>
    <x v="366"/>
    <x v="48"/>
    <x v="3"/>
    <s v="Boots"/>
    <x v="2"/>
    <x v="1"/>
    <x v="1"/>
    <n v="241.46"/>
    <n v="13"/>
    <n v="3138.98"/>
    <x v="0"/>
    <s v="High"/>
    <s v="Excellent"/>
    <n v="955.11999999999989"/>
    <n v="0.1"/>
    <n v="2825.0819999999999"/>
  </r>
  <r>
    <x v="367"/>
    <x v="242"/>
    <x v="3"/>
    <s v="Running"/>
    <x v="4"/>
    <x v="3"/>
    <x v="2"/>
    <n v="229.18"/>
    <n v="4"/>
    <n v="916.72"/>
    <x v="8"/>
    <s v="Low"/>
    <s v="Average"/>
    <n v="-2222.2600000000002"/>
    <n v="0.1"/>
    <n v="825.048"/>
  </r>
  <r>
    <x v="368"/>
    <x v="243"/>
    <x v="1"/>
    <s v="Casual"/>
    <x v="4"/>
    <x v="5"/>
    <x v="1"/>
    <n v="73.069999999999993"/>
    <n v="14"/>
    <n v="1022.98"/>
    <x v="1"/>
    <s v="Low"/>
    <s v="Average"/>
    <n v="106.25999999999999"/>
    <n v="0.1"/>
    <n v="920.68200000000002"/>
  </r>
  <r>
    <x v="369"/>
    <x v="145"/>
    <x v="1"/>
    <s v="Casual"/>
    <x v="1"/>
    <x v="0"/>
    <x v="1"/>
    <n v="45.26"/>
    <n v="2"/>
    <n v="90.52"/>
    <x v="2"/>
    <s v="Low"/>
    <s v="Low"/>
    <n v="-932.46"/>
    <n v="0.1"/>
    <n v="81.468000000000004"/>
  </r>
  <r>
    <x v="370"/>
    <x v="182"/>
    <x v="2"/>
    <s v="Formal"/>
    <x v="0"/>
    <x v="0"/>
    <x v="2"/>
    <n v="52.17"/>
    <n v="16"/>
    <n v="834.72"/>
    <x v="7"/>
    <s v="Low"/>
    <s v="Average"/>
    <n v="744.2"/>
    <n v="0.1"/>
    <n v="751.24800000000005"/>
  </r>
  <r>
    <x v="371"/>
    <x v="244"/>
    <x v="2"/>
    <s v="Sports"/>
    <x v="3"/>
    <x v="4"/>
    <x v="1"/>
    <n v="34.01"/>
    <n v="11"/>
    <n v="374.11"/>
    <x v="9"/>
    <s v="Low"/>
    <s v="Low"/>
    <n v="-460.61"/>
    <n v="0.1"/>
    <n v="336.69900000000001"/>
  </r>
  <r>
    <x v="372"/>
    <x v="21"/>
    <x v="2"/>
    <s v="Formal"/>
    <x v="2"/>
    <x v="0"/>
    <x v="2"/>
    <n v="50.78"/>
    <n v="9"/>
    <n v="457.02"/>
    <x v="8"/>
    <s v="Low"/>
    <s v="Low"/>
    <n v="82.909999999999968"/>
    <n v="0.1"/>
    <n v="411.31799999999998"/>
  </r>
  <r>
    <x v="373"/>
    <x v="14"/>
    <x v="3"/>
    <s v="Sports"/>
    <x v="0"/>
    <x v="2"/>
    <x v="0"/>
    <n v="180.26"/>
    <n v="10"/>
    <n v="1802.6"/>
    <x v="3"/>
    <s v="Low"/>
    <s v="Good"/>
    <n v="1345.58"/>
    <n v="0.1"/>
    <n v="1622.34"/>
  </r>
  <r>
    <x v="374"/>
    <x v="29"/>
    <x v="4"/>
    <s v="Formal"/>
    <x v="0"/>
    <x v="5"/>
    <x v="1"/>
    <n v="45.66"/>
    <n v="16"/>
    <n v="730.56"/>
    <x v="8"/>
    <s v="Low"/>
    <s v="Average"/>
    <n v="-1072.04"/>
    <n v="0.1"/>
    <n v="657.50400000000002"/>
  </r>
  <r>
    <x v="375"/>
    <x v="245"/>
    <x v="0"/>
    <s v="Sneakers"/>
    <x v="3"/>
    <x v="5"/>
    <x v="2"/>
    <n v="100.17"/>
    <n v="10"/>
    <n v="1001.7"/>
    <x v="6"/>
    <s v="Low"/>
    <s v="Average"/>
    <n v="271.1400000000001"/>
    <n v="0.1"/>
    <n v="901.53000000000009"/>
  </r>
  <r>
    <x v="376"/>
    <x v="159"/>
    <x v="3"/>
    <s v="Sports"/>
    <x v="5"/>
    <x v="3"/>
    <x v="1"/>
    <n v="215.87"/>
    <n v="12"/>
    <n v="2590.44"/>
    <x v="5"/>
    <s v="High"/>
    <s v="Good"/>
    <n v="1588.74"/>
    <n v="0.1"/>
    <n v="2331.3960000000002"/>
  </r>
  <r>
    <x v="377"/>
    <x v="26"/>
    <x v="5"/>
    <s v="Boots"/>
    <x v="0"/>
    <x v="2"/>
    <x v="2"/>
    <n v="35.119999999999997"/>
    <n v="12"/>
    <n v="421.44"/>
    <x v="4"/>
    <s v="Low"/>
    <s v="Low"/>
    <n v="-2169"/>
    <n v="0.1"/>
    <n v="379.29599999999999"/>
  </r>
  <r>
    <x v="378"/>
    <x v="246"/>
    <x v="2"/>
    <s v="Sports"/>
    <x v="1"/>
    <x v="2"/>
    <x v="2"/>
    <n v="209.18"/>
    <n v="7"/>
    <n v="1464.26"/>
    <x v="10"/>
    <s v="Low"/>
    <s v="Average"/>
    <n v="1042.82"/>
    <n v="0.1"/>
    <n v="1317.8340000000001"/>
  </r>
  <r>
    <x v="379"/>
    <x v="18"/>
    <x v="2"/>
    <s v="Boots"/>
    <x v="1"/>
    <x v="0"/>
    <x v="0"/>
    <n v="92.01"/>
    <n v="4"/>
    <n v="368.04"/>
    <x v="1"/>
    <s v="Low"/>
    <s v="Low"/>
    <n v="-1096.22"/>
    <n v="0.1"/>
    <n v="331.23600000000005"/>
  </r>
  <r>
    <x v="380"/>
    <x v="160"/>
    <x v="3"/>
    <s v="Boots"/>
    <x v="2"/>
    <x v="1"/>
    <x v="0"/>
    <n v="56"/>
    <n v="17"/>
    <n v="952"/>
    <x v="11"/>
    <s v="Low"/>
    <s v="Average"/>
    <n v="583.96"/>
    <n v="0.1"/>
    <n v="856.80000000000007"/>
  </r>
  <r>
    <x v="381"/>
    <x v="184"/>
    <x v="1"/>
    <s v="Formal"/>
    <x v="5"/>
    <x v="2"/>
    <x v="0"/>
    <n v="183.28"/>
    <n v="11"/>
    <n v="2016.08"/>
    <x v="5"/>
    <s v="High"/>
    <s v="Good"/>
    <n v="1064.08"/>
    <n v="0.1"/>
    <n v="1814.472"/>
  </r>
  <r>
    <x v="382"/>
    <x v="247"/>
    <x v="3"/>
    <s v="Formal"/>
    <x v="3"/>
    <x v="6"/>
    <x v="2"/>
    <n v="168.37"/>
    <n v="18"/>
    <n v="3030.66"/>
    <x v="11"/>
    <s v="High"/>
    <s v="Excellent"/>
    <n v="1014.5799999999999"/>
    <n v="0.1"/>
    <n v="2727.5940000000001"/>
  </r>
  <r>
    <x v="383"/>
    <x v="183"/>
    <x v="4"/>
    <s v="Sports"/>
    <x v="0"/>
    <x v="2"/>
    <x v="0"/>
    <n v="223.04"/>
    <n v="7"/>
    <n v="1561.28"/>
    <x v="0"/>
    <s v="Low"/>
    <s v="Good"/>
    <n v="-1469.3799999999999"/>
    <n v="0.1"/>
    <n v="1405.152"/>
  </r>
  <r>
    <x v="384"/>
    <x v="248"/>
    <x v="3"/>
    <s v="Sneakers"/>
    <x v="3"/>
    <x v="2"/>
    <x v="0"/>
    <n v="191.72"/>
    <n v="19"/>
    <n v="3642.68"/>
    <x v="4"/>
    <s v="High"/>
    <s v="Excellent"/>
    <n v="2081.3999999999996"/>
    <n v="0.1"/>
    <n v="3278.4119999999998"/>
  </r>
  <r>
    <x v="385"/>
    <x v="75"/>
    <x v="3"/>
    <s v="Running"/>
    <x v="4"/>
    <x v="4"/>
    <x v="2"/>
    <n v="206.77"/>
    <n v="14"/>
    <n v="2894.78"/>
    <x v="1"/>
    <s v="High"/>
    <s v="Good"/>
    <n v="-747.89999999999964"/>
    <n v="0.1"/>
    <n v="2605.3020000000001"/>
  </r>
  <r>
    <x v="386"/>
    <x v="46"/>
    <x v="0"/>
    <s v="Running"/>
    <x v="0"/>
    <x v="5"/>
    <x v="1"/>
    <n v="92.05"/>
    <n v="10"/>
    <n v="920.5"/>
    <x v="10"/>
    <s v="Low"/>
    <s v="Average"/>
    <n v="-1974.2800000000002"/>
    <n v="0.1"/>
    <n v="828.45"/>
  </r>
  <r>
    <x v="387"/>
    <x v="54"/>
    <x v="4"/>
    <s v="Formal"/>
    <x v="3"/>
    <x v="5"/>
    <x v="1"/>
    <n v="69.040000000000006"/>
    <n v="11"/>
    <n v="759.44"/>
    <x v="4"/>
    <s v="Low"/>
    <s v="Average"/>
    <n v="-161.05999999999995"/>
    <n v="0.1"/>
    <n v="683.49600000000009"/>
  </r>
  <r>
    <x v="388"/>
    <x v="249"/>
    <x v="2"/>
    <s v="Formal"/>
    <x v="0"/>
    <x v="0"/>
    <x v="0"/>
    <n v="195.14"/>
    <n v="5"/>
    <n v="975.7"/>
    <x v="9"/>
    <s v="Low"/>
    <s v="Average"/>
    <n v="216.26"/>
    <n v="0.1"/>
    <n v="878.13000000000011"/>
  </r>
  <r>
    <x v="389"/>
    <x v="92"/>
    <x v="1"/>
    <s v="Formal"/>
    <x v="3"/>
    <x v="3"/>
    <x v="1"/>
    <n v="207.5"/>
    <n v="6"/>
    <n v="1245"/>
    <x v="7"/>
    <s v="Low"/>
    <s v="Average"/>
    <n v="269.29999999999995"/>
    <n v="0.1"/>
    <n v="1120.5"/>
  </r>
  <r>
    <x v="390"/>
    <x v="46"/>
    <x v="1"/>
    <s v="Sports"/>
    <x v="0"/>
    <x v="5"/>
    <x v="1"/>
    <n v="247.91"/>
    <n v="1"/>
    <n v="247.91"/>
    <x v="10"/>
    <s v="Low"/>
    <s v="Low"/>
    <n v="-997.09"/>
    <n v="0.1"/>
    <n v="223.119"/>
  </r>
  <r>
    <x v="391"/>
    <x v="119"/>
    <x v="2"/>
    <s v="Boots"/>
    <x v="4"/>
    <x v="4"/>
    <x v="2"/>
    <n v="120.78"/>
    <n v="6"/>
    <n v="724.68"/>
    <x v="10"/>
    <s v="Low"/>
    <s v="Average"/>
    <n v="476.77"/>
    <n v="0.1"/>
    <n v="652.21199999999999"/>
  </r>
  <r>
    <x v="392"/>
    <x v="250"/>
    <x v="0"/>
    <s v="Formal"/>
    <x v="3"/>
    <x v="1"/>
    <x v="0"/>
    <n v="111.84"/>
    <n v="11"/>
    <n v="1230.24"/>
    <x v="9"/>
    <s v="Low"/>
    <s v="Average"/>
    <n v="505.56000000000006"/>
    <n v="0.1"/>
    <n v="1107.2160000000001"/>
  </r>
  <r>
    <x v="393"/>
    <x v="1"/>
    <x v="4"/>
    <s v="Casual"/>
    <x v="5"/>
    <x v="3"/>
    <x v="2"/>
    <n v="200.81"/>
    <n v="16"/>
    <n v="3212.96"/>
    <x v="1"/>
    <s v="High"/>
    <s v="Excellent"/>
    <n v="1982.72"/>
    <n v="0.1"/>
    <n v="2891.6640000000002"/>
  </r>
  <r>
    <x v="394"/>
    <x v="251"/>
    <x v="4"/>
    <s v="Sports"/>
    <x v="0"/>
    <x v="5"/>
    <x v="1"/>
    <n v="104.98"/>
    <n v="15"/>
    <n v="1574.7"/>
    <x v="6"/>
    <s v="Low"/>
    <s v="Good"/>
    <n v="-1638.26"/>
    <n v="0.1"/>
    <n v="1417.23"/>
  </r>
  <r>
    <x v="395"/>
    <x v="125"/>
    <x v="4"/>
    <s v="Boots"/>
    <x v="0"/>
    <x v="2"/>
    <x v="0"/>
    <n v="234.77"/>
    <n v="1"/>
    <n v="234.77"/>
    <x v="3"/>
    <s v="Low"/>
    <s v="Low"/>
    <n v="-1339.93"/>
    <n v="0.1"/>
    <n v="211.29300000000001"/>
  </r>
  <r>
    <x v="396"/>
    <x v="202"/>
    <x v="5"/>
    <s v="Sports"/>
    <x v="2"/>
    <x v="6"/>
    <x v="1"/>
    <n v="218.85"/>
    <n v="4"/>
    <n v="875.4"/>
    <x v="4"/>
    <s v="Low"/>
    <s v="Average"/>
    <n v="640.63"/>
    <n v="0.1"/>
    <n v="787.86"/>
  </r>
  <r>
    <x v="397"/>
    <x v="252"/>
    <x v="1"/>
    <s v="Running"/>
    <x v="3"/>
    <x v="3"/>
    <x v="2"/>
    <n v="124.38"/>
    <n v="10"/>
    <n v="1243.8"/>
    <x v="9"/>
    <s v="Low"/>
    <s v="Average"/>
    <n v="368.4"/>
    <n v="0.1"/>
    <n v="1119.42"/>
  </r>
  <r>
    <x v="398"/>
    <x v="253"/>
    <x v="3"/>
    <s v="Casual"/>
    <x v="4"/>
    <x v="0"/>
    <x v="2"/>
    <n v="195.19"/>
    <n v="8"/>
    <n v="1561.52"/>
    <x v="0"/>
    <s v="Low"/>
    <s v="Good"/>
    <n v="317.72000000000003"/>
    <n v="0.1"/>
    <n v="1405.3679999999999"/>
  </r>
  <r>
    <x v="399"/>
    <x v="128"/>
    <x v="5"/>
    <s v="Boots"/>
    <x v="1"/>
    <x v="6"/>
    <x v="1"/>
    <n v="196"/>
    <n v="12"/>
    <n v="2352"/>
    <x v="0"/>
    <s v="High"/>
    <s v="Good"/>
    <n v="790.48"/>
    <n v="0.1"/>
    <n v="2116.8000000000002"/>
  </r>
  <r>
    <x v="400"/>
    <x v="254"/>
    <x v="3"/>
    <s v="Boots"/>
    <x v="1"/>
    <x v="4"/>
    <x v="0"/>
    <n v="52.69"/>
    <n v="7"/>
    <n v="368.83"/>
    <x v="8"/>
    <s v="Low"/>
    <s v="Low"/>
    <n v="-1983.17"/>
    <n v="0.1"/>
    <n v="331.947"/>
  </r>
  <r>
    <x v="401"/>
    <x v="255"/>
    <x v="2"/>
    <s v="Boots"/>
    <x v="0"/>
    <x v="1"/>
    <x v="1"/>
    <n v="228.56"/>
    <n v="15"/>
    <n v="3428.4"/>
    <x v="9"/>
    <s v="High"/>
    <s v="Excellent"/>
    <n v="3059.57"/>
    <n v="0.1"/>
    <n v="3085.56"/>
  </r>
  <r>
    <x v="402"/>
    <x v="25"/>
    <x v="2"/>
    <s v="Sneakers"/>
    <x v="2"/>
    <x v="5"/>
    <x v="1"/>
    <n v="141.16"/>
    <n v="2"/>
    <n v="282.32"/>
    <x v="4"/>
    <s v="Low"/>
    <s v="Low"/>
    <n v="-3146.08"/>
    <n v="0.1"/>
    <n v="254.08799999999999"/>
  </r>
  <r>
    <x v="403"/>
    <x v="132"/>
    <x v="4"/>
    <s v="Sneakers"/>
    <x v="4"/>
    <x v="1"/>
    <x v="1"/>
    <n v="211.82"/>
    <n v="6"/>
    <n v="1270.92"/>
    <x v="1"/>
    <s v="Low"/>
    <s v="Average"/>
    <n v="988.60000000000014"/>
    <n v="0.1"/>
    <n v="1143.8280000000002"/>
  </r>
  <r>
    <x v="404"/>
    <x v="256"/>
    <x v="5"/>
    <s v="Running"/>
    <x v="1"/>
    <x v="6"/>
    <x v="0"/>
    <n v="100.41"/>
    <n v="19"/>
    <n v="1907.79"/>
    <x v="10"/>
    <s v="Low"/>
    <s v="Good"/>
    <n v="636.86999999999989"/>
    <n v="0.1"/>
    <n v="1717.011"/>
  </r>
  <r>
    <x v="405"/>
    <x v="131"/>
    <x v="2"/>
    <s v="Formal"/>
    <x v="4"/>
    <x v="5"/>
    <x v="0"/>
    <n v="227.02"/>
    <n v="5"/>
    <n v="1135.0999999999999"/>
    <x v="2"/>
    <s v="Low"/>
    <s v="Average"/>
    <n v="-772.69"/>
    <n v="0.1"/>
    <n v="1021.5899999999999"/>
  </r>
  <r>
    <x v="406"/>
    <x v="62"/>
    <x v="1"/>
    <s v="Sports"/>
    <x v="3"/>
    <x v="1"/>
    <x v="2"/>
    <n v="115.62"/>
    <n v="15"/>
    <n v="1734.3"/>
    <x v="3"/>
    <s v="Low"/>
    <s v="Good"/>
    <n v="599.20000000000005"/>
    <n v="0.1"/>
    <n v="1560.87"/>
  </r>
  <r>
    <x v="407"/>
    <x v="156"/>
    <x v="1"/>
    <s v="Casual"/>
    <x v="1"/>
    <x v="1"/>
    <x v="0"/>
    <n v="32.380000000000003"/>
    <n v="1"/>
    <n v="32.380000000000003"/>
    <x v="6"/>
    <s v="Low"/>
    <s v="Low"/>
    <n v="-1701.9199999999998"/>
    <n v="0.1"/>
    <n v="29.142000000000003"/>
  </r>
  <r>
    <x v="408"/>
    <x v="2"/>
    <x v="1"/>
    <s v="Running"/>
    <x v="1"/>
    <x v="1"/>
    <x v="0"/>
    <n v="229.18"/>
    <n v="12"/>
    <n v="2750.16"/>
    <x v="2"/>
    <s v="High"/>
    <s v="Good"/>
    <n v="2717.7799999999997"/>
    <n v="0.1"/>
    <n v="2475.1439999999998"/>
  </r>
  <r>
    <x v="409"/>
    <x v="145"/>
    <x v="4"/>
    <s v="Formal"/>
    <x v="2"/>
    <x v="4"/>
    <x v="0"/>
    <n v="50.08"/>
    <n v="2"/>
    <n v="100.16"/>
    <x v="2"/>
    <s v="Low"/>
    <s v="Low"/>
    <n v="-2650"/>
    <n v="0.1"/>
    <n v="90.144000000000005"/>
  </r>
  <r>
    <x v="410"/>
    <x v="174"/>
    <x v="4"/>
    <s v="Formal"/>
    <x v="4"/>
    <x v="4"/>
    <x v="2"/>
    <n v="100.25"/>
    <n v="14"/>
    <n v="1403.5"/>
    <x v="0"/>
    <s v="Low"/>
    <s v="Average"/>
    <n v="1303.3399999999999"/>
    <n v="0.1"/>
    <n v="1263.1500000000001"/>
  </r>
  <r>
    <x v="411"/>
    <x v="257"/>
    <x v="1"/>
    <s v="Boots"/>
    <x v="1"/>
    <x v="0"/>
    <x v="1"/>
    <n v="239.01"/>
    <n v="3"/>
    <n v="717.03"/>
    <x v="5"/>
    <s v="Low"/>
    <s v="Average"/>
    <n v="-686.47"/>
    <n v="0.1"/>
    <n v="645.327"/>
  </r>
  <r>
    <x v="412"/>
    <x v="196"/>
    <x v="3"/>
    <s v="Sneakers"/>
    <x v="4"/>
    <x v="5"/>
    <x v="0"/>
    <n v="239.13"/>
    <n v="4"/>
    <n v="956.52"/>
    <x v="7"/>
    <s v="Low"/>
    <s v="Average"/>
    <n v="239.49"/>
    <n v="0.1"/>
    <n v="860.86800000000005"/>
  </r>
  <r>
    <x v="413"/>
    <x v="217"/>
    <x v="0"/>
    <s v="Sports"/>
    <x v="4"/>
    <x v="2"/>
    <x v="1"/>
    <n v="156.16"/>
    <n v="1"/>
    <n v="156.16"/>
    <x v="10"/>
    <s v="Low"/>
    <s v="Low"/>
    <n v="-800.36"/>
    <n v="0.1"/>
    <n v="140.54400000000001"/>
  </r>
  <r>
    <x v="414"/>
    <x v="258"/>
    <x v="2"/>
    <s v="Formal"/>
    <x v="2"/>
    <x v="0"/>
    <x v="2"/>
    <n v="169"/>
    <n v="14"/>
    <n v="2366"/>
    <x v="3"/>
    <s v="High"/>
    <s v="Good"/>
    <n v="2209.84"/>
    <n v="0.1"/>
    <n v="2129.4"/>
  </r>
  <r>
    <x v="415"/>
    <x v="259"/>
    <x v="4"/>
    <s v="Casual"/>
    <x v="3"/>
    <x v="4"/>
    <x v="0"/>
    <n v="128.66"/>
    <n v="5"/>
    <n v="643.29999999999995"/>
    <x v="7"/>
    <s v="Low"/>
    <s v="Average"/>
    <n v="-1722.7"/>
    <n v="0.1"/>
    <n v="578.97"/>
  </r>
  <r>
    <x v="416"/>
    <x v="226"/>
    <x v="2"/>
    <s v="Running"/>
    <x v="2"/>
    <x v="0"/>
    <x v="0"/>
    <n v="94.51"/>
    <n v="14"/>
    <n v="1323.14"/>
    <x v="11"/>
    <s v="Low"/>
    <s v="Average"/>
    <n v="679.84000000000015"/>
    <n v="0.1"/>
    <n v="1190.826"/>
  </r>
  <r>
    <x v="417"/>
    <x v="210"/>
    <x v="0"/>
    <s v="Formal"/>
    <x v="1"/>
    <x v="2"/>
    <x v="1"/>
    <n v="102.31"/>
    <n v="20"/>
    <n v="2046.2"/>
    <x v="4"/>
    <s v="High"/>
    <s v="Good"/>
    <n v="723.06"/>
    <n v="0.1"/>
    <n v="1841.5800000000002"/>
  </r>
  <r>
    <x v="418"/>
    <x v="222"/>
    <x v="1"/>
    <s v="Running"/>
    <x v="4"/>
    <x v="6"/>
    <x v="0"/>
    <n v="177.95"/>
    <n v="8"/>
    <n v="1423.6"/>
    <x v="11"/>
    <s v="Low"/>
    <s v="Average"/>
    <n v="-622.60000000000014"/>
    <n v="0.1"/>
    <n v="1281.24"/>
  </r>
  <r>
    <x v="419"/>
    <x v="24"/>
    <x v="0"/>
    <s v="Casual"/>
    <x v="1"/>
    <x v="3"/>
    <x v="0"/>
    <n v="195.52"/>
    <n v="7"/>
    <n v="1368.64"/>
    <x v="3"/>
    <s v="Low"/>
    <s v="Average"/>
    <n v="-54.959999999999809"/>
    <n v="0.1"/>
    <n v="1231.7760000000001"/>
  </r>
  <r>
    <x v="420"/>
    <x v="260"/>
    <x v="2"/>
    <s v="Sneakers"/>
    <x v="3"/>
    <x v="4"/>
    <x v="2"/>
    <n v="204.15"/>
    <n v="11"/>
    <n v="2245.65"/>
    <x v="3"/>
    <s v="High"/>
    <s v="Good"/>
    <n v="877.01"/>
    <n v="0.1"/>
    <n v="2021.085"/>
  </r>
  <r>
    <x v="421"/>
    <x v="261"/>
    <x v="3"/>
    <s v="Boots"/>
    <x v="1"/>
    <x v="0"/>
    <x v="2"/>
    <n v="203.72"/>
    <n v="10"/>
    <n v="2037.2"/>
    <x v="6"/>
    <s v="High"/>
    <s v="Good"/>
    <n v="-208.45000000000005"/>
    <n v="0.1"/>
    <n v="1833.48"/>
  </r>
  <r>
    <x v="422"/>
    <x v="157"/>
    <x v="0"/>
    <s v="Sneakers"/>
    <x v="1"/>
    <x v="2"/>
    <x v="0"/>
    <n v="50.07"/>
    <n v="9"/>
    <n v="450.63"/>
    <x v="7"/>
    <s v="Low"/>
    <s v="Low"/>
    <n v="-1586.5700000000002"/>
    <n v="0.1"/>
    <n v="405.56700000000001"/>
  </r>
  <r>
    <x v="423"/>
    <x v="262"/>
    <x v="2"/>
    <s v="Formal"/>
    <x v="5"/>
    <x v="3"/>
    <x v="1"/>
    <n v="138.77000000000001"/>
    <n v="14"/>
    <n v="1942.78"/>
    <x v="0"/>
    <s v="Low"/>
    <s v="Good"/>
    <n v="1492.15"/>
    <n v="0.1"/>
    <n v="1748.502"/>
  </r>
  <r>
    <x v="424"/>
    <x v="263"/>
    <x v="2"/>
    <s v="Sports"/>
    <x v="3"/>
    <x v="6"/>
    <x v="2"/>
    <n v="42.66"/>
    <n v="13"/>
    <n v="554.58000000000004"/>
    <x v="8"/>
    <s v="Low"/>
    <s v="Average"/>
    <n v="-1388.1999999999998"/>
    <n v="0.1"/>
    <n v="499.12200000000007"/>
  </r>
  <r>
    <x v="425"/>
    <x v="132"/>
    <x v="5"/>
    <s v="Casual"/>
    <x v="1"/>
    <x v="6"/>
    <x v="0"/>
    <n v="150.9"/>
    <n v="10"/>
    <n v="1509"/>
    <x v="1"/>
    <s v="Low"/>
    <s v="Good"/>
    <n v="954.42"/>
    <n v="0.1"/>
    <n v="1358.1000000000001"/>
  </r>
  <r>
    <x v="426"/>
    <x v="80"/>
    <x v="1"/>
    <s v="Casual"/>
    <x v="4"/>
    <x v="1"/>
    <x v="1"/>
    <n v="127.14"/>
    <n v="10"/>
    <n v="1271.4000000000001"/>
    <x v="10"/>
    <s v="Low"/>
    <s v="Average"/>
    <n v="-237.59999999999991"/>
    <n v="0.1"/>
    <n v="1144.2600000000002"/>
  </r>
  <r>
    <x v="427"/>
    <x v="184"/>
    <x v="2"/>
    <s v="Sneakers"/>
    <x v="2"/>
    <x v="6"/>
    <x v="0"/>
    <n v="225.29"/>
    <n v="14"/>
    <n v="3154.06"/>
    <x v="5"/>
    <s v="High"/>
    <s v="Excellent"/>
    <n v="1882.6599999999999"/>
    <n v="0.1"/>
    <n v="2838.654"/>
  </r>
  <r>
    <x v="428"/>
    <x v="156"/>
    <x v="4"/>
    <s v="Boots"/>
    <x v="5"/>
    <x v="6"/>
    <x v="2"/>
    <n v="107.2"/>
    <n v="7"/>
    <n v="750.4"/>
    <x v="6"/>
    <s v="Low"/>
    <s v="Average"/>
    <n v="-2403.66"/>
    <n v="0.1"/>
    <n v="675.36"/>
  </r>
  <r>
    <x v="429"/>
    <x v="143"/>
    <x v="1"/>
    <s v="Casual"/>
    <x v="5"/>
    <x v="3"/>
    <x v="2"/>
    <n v="55.75"/>
    <n v="18"/>
    <n v="1003.5"/>
    <x v="4"/>
    <s v="Low"/>
    <s v="Average"/>
    <n v="253.10000000000002"/>
    <n v="0.1"/>
    <n v="903.15"/>
  </r>
  <r>
    <x v="430"/>
    <x v="264"/>
    <x v="2"/>
    <s v="Running"/>
    <x v="5"/>
    <x v="0"/>
    <x v="1"/>
    <n v="61.46"/>
    <n v="20"/>
    <n v="1229.2"/>
    <x v="8"/>
    <s v="Low"/>
    <s v="Average"/>
    <n v="225.70000000000005"/>
    <n v="0.1"/>
    <n v="1106.28"/>
  </r>
  <r>
    <x v="431"/>
    <x v="263"/>
    <x v="3"/>
    <s v="Formal"/>
    <x v="2"/>
    <x v="4"/>
    <x v="2"/>
    <n v="197.53"/>
    <n v="18"/>
    <n v="3555.54"/>
    <x v="8"/>
    <s v="High"/>
    <s v="Excellent"/>
    <n v="2326.34"/>
    <n v="0.1"/>
    <n v="3199.9859999999999"/>
  </r>
  <r>
    <x v="432"/>
    <x v="76"/>
    <x v="3"/>
    <s v="Casual"/>
    <x v="3"/>
    <x v="1"/>
    <x v="1"/>
    <n v="166.01"/>
    <n v="1"/>
    <n v="166.01"/>
    <x v="7"/>
    <s v="Low"/>
    <s v="Low"/>
    <n v="-3389.5299999999997"/>
    <n v="0.1"/>
    <n v="149.40899999999999"/>
  </r>
  <r>
    <x v="433"/>
    <x v="180"/>
    <x v="1"/>
    <s v="Sneakers"/>
    <x v="3"/>
    <x v="0"/>
    <x v="2"/>
    <n v="52.25"/>
    <n v="8"/>
    <n v="418"/>
    <x v="9"/>
    <s v="Low"/>
    <s v="Low"/>
    <n v="251.99"/>
    <n v="0.1"/>
    <n v="376.2"/>
  </r>
  <r>
    <x v="434"/>
    <x v="219"/>
    <x v="4"/>
    <s v="Sports"/>
    <x v="4"/>
    <x v="6"/>
    <x v="1"/>
    <n v="48.5"/>
    <n v="18"/>
    <n v="873"/>
    <x v="6"/>
    <s v="Low"/>
    <s v="Average"/>
    <n v="455"/>
    <n v="0.1"/>
    <n v="785.7"/>
  </r>
  <r>
    <x v="435"/>
    <x v="265"/>
    <x v="4"/>
    <s v="Sports"/>
    <x v="0"/>
    <x v="5"/>
    <x v="2"/>
    <n v="184.21"/>
    <n v="12"/>
    <n v="2210.52"/>
    <x v="0"/>
    <s v="High"/>
    <s v="Good"/>
    <n v="1337.52"/>
    <n v="0.1"/>
    <n v="1989.4680000000001"/>
  </r>
  <r>
    <x v="436"/>
    <x v="266"/>
    <x v="1"/>
    <s v="Formal"/>
    <x v="0"/>
    <x v="0"/>
    <x v="2"/>
    <n v="46.01"/>
    <n v="4"/>
    <n v="184.04"/>
    <x v="2"/>
    <s v="Low"/>
    <s v="Low"/>
    <n v="-2026.48"/>
    <n v="0.1"/>
    <n v="165.636"/>
  </r>
  <r>
    <x v="437"/>
    <x v="69"/>
    <x v="0"/>
    <s v="Sneakers"/>
    <x v="2"/>
    <x v="2"/>
    <x v="0"/>
    <n v="210.81"/>
    <n v="14"/>
    <n v="2951.34"/>
    <x v="7"/>
    <s v="High"/>
    <s v="Good"/>
    <n v="2767.3"/>
    <n v="0.1"/>
    <n v="2656.2060000000001"/>
  </r>
  <r>
    <x v="438"/>
    <x v="267"/>
    <x v="2"/>
    <s v="Sneakers"/>
    <x v="1"/>
    <x v="2"/>
    <x v="2"/>
    <n v="185.37"/>
    <n v="9"/>
    <n v="1668.33"/>
    <x v="11"/>
    <s v="Low"/>
    <s v="Good"/>
    <n v="-1283.0100000000002"/>
    <n v="0.1"/>
    <n v="1501.4970000000001"/>
  </r>
  <r>
    <x v="439"/>
    <x v="122"/>
    <x v="3"/>
    <s v="Sports"/>
    <x v="2"/>
    <x v="6"/>
    <x v="1"/>
    <n v="47.9"/>
    <n v="5"/>
    <n v="239.5"/>
    <x v="7"/>
    <s v="Low"/>
    <s v="Low"/>
    <n v="-1428.83"/>
    <n v="0.1"/>
    <n v="215.55"/>
  </r>
  <r>
    <x v="440"/>
    <x v="13"/>
    <x v="2"/>
    <s v="Boots"/>
    <x v="3"/>
    <x v="3"/>
    <x v="2"/>
    <n v="48.66"/>
    <n v="16"/>
    <n v="778.56"/>
    <x v="6"/>
    <s v="Low"/>
    <s v="Average"/>
    <n v="539.05999999999995"/>
    <n v="0.1"/>
    <n v="700.70399999999995"/>
  </r>
  <r>
    <x v="441"/>
    <x v="115"/>
    <x v="5"/>
    <s v="Casual"/>
    <x v="3"/>
    <x v="4"/>
    <x v="2"/>
    <n v="247.06"/>
    <n v="16"/>
    <n v="3952.96"/>
    <x v="9"/>
    <s v="High"/>
    <s v="Excellent"/>
    <n v="3174.4"/>
    <n v="0.1"/>
    <n v="3557.6640000000002"/>
  </r>
  <r>
    <x v="442"/>
    <x v="268"/>
    <x v="1"/>
    <s v="Sneakers"/>
    <x v="4"/>
    <x v="0"/>
    <x v="1"/>
    <n v="112.34"/>
    <n v="5"/>
    <n v="561.70000000000005"/>
    <x v="1"/>
    <s v="Low"/>
    <s v="Average"/>
    <n v="-3391.26"/>
    <n v="0.1"/>
    <n v="505.53000000000003"/>
  </r>
  <r>
    <x v="443"/>
    <x v="174"/>
    <x v="2"/>
    <s v="Running"/>
    <x v="5"/>
    <x v="4"/>
    <x v="1"/>
    <n v="111.54"/>
    <n v="2"/>
    <n v="223.08"/>
    <x v="0"/>
    <s v="Low"/>
    <s v="Low"/>
    <n v="-338.62"/>
    <n v="0.1"/>
    <n v="200.77200000000002"/>
  </r>
  <r>
    <x v="444"/>
    <x v="222"/>
    <x v="5"/>
    <s v="Casual"/>
    <x v="3"/>
    <x v="0"/>
    <x v="0"/>
    <n v="208.82"/>
    <n v="1"/>
    <n v="208.82"/>
    <x v="11"/>
    <s v="Low"/>
    <s v="Low"/>
    <n v="-14.260000000000019"/>
    <n v="0.1"/>
    <n v="187.93799999999999"/>
  </r>
  <r>
    <x v="445"/>
    <x v="109"/>
    <x v="0"/>
    <s v="Casual"/>
    <x v="1"/>
    <x v="6"/>
    <x v="2"/>
    <n v="238.39"/>
    <n v="5"/>
    <n v="1191.95"/>
    <x v="8"/>
    <s v="Low"/>
    <s v="Average"/>
    <n v="983.13000000000011"/>
    <n v="0.1"/>
    <n v="1072.7550000000001"/>
  </r>
  <r>
    <x v="446"/>
    <x v="41"/>
    <x v="1"/>
    <s v="Boots"/>
    <x v="1"/>
    <x v="6"/>
    <x v="1"/>
    <n v="246.92"/>
    <n v="20"/>
    <n v="4938.3999999999996"/>
    <x v="11"/>
    <s v="High"/>
    <s v="Excellent"/>
    <n v="3746.45"/>
    <n v="0.1"/>
    <n v="4444.5599999999995"/>
  </r>
  <r>
    <x v="447"/>
    <x v="43"/>
    <x v="0"/>
    <s v="Sneakers"/>
    <x v="1"/>
    <x v="6"/>
    <x v="0"/>
    <n v="195.74"/>
    <n v="1"/>
    <n v="195.74"/>
    <x v="9"/>
    <s v="Low"/>
    <s v="Low"/>
    <n v="-4742.66"/>
    <n v="0.1"/>
    <n v="176.16600000000003"/>
  </r>
  <r>
    <x v="448"/>
    <x v="267"/>
    <x v="1"/>
    <s v="Sports"/>
    <x v="1"/>
    <x v="3"/>
    <x v="0"/>
    <n v="112.78"/>
    <n v="17"/>
    <n v="1917.26"/>
    <x v="11"/>
    <s v="Low"/>
    <s v="Good"/>
    <n v="1721.52"/>
    <n v="0.1"/>
    <n v="1725.5340000000001"/>
  </r>
  <r>
    <x v="449"/>
    <x v="252"/>
    <x v="3"/>
    <s v="Running"/>
    <x v="5"/>
    <x v="5"/>
    <x v="0"/>
    <n v="48.37"/>
    <n v="14"/>
    <n v="677.18"/>
    <x v="9"/>
    <s v="Low"/>
    <s v="Average"/>
    <n v="-1240.08"/>
    <n v="0.1"/>
    <n v="609.46199999999999"/>
  </r>
  <r>
    <x v="450"/>
    <x v="155"/>
    <x v="2"/>
    <s v="Sneakers"/>
    <x v="0"/>
    <x v="4"/>
    <x v="2"/>
    <n v="200.97"/>
    <n v="7"/>
    <n v="1406.79"/>
    <x v="6"/>
    <s v="Low"/>
    <s v="Average"/>
    <n v="729.61"/>
    <n v="0.1"/>
    <n v="1266.1110000000001"/>
  </r>
  <r>
    <x v="451"/>
    <x v="12"/>
    <x v="0"/>
    <s v="Sports"/>
    <x v="4"/>
    <x v="6"/>
    <x v="1"/>
    <n v="152.85"/>
    <n v="13"/>
    <n v="1987.05"/>
    <x v="6"/>
    <s v="Low"/>
    <s v="Good"/>
    <n v="580.26"/>
    <n v="0.1"/>
    <n v="1788.345"/>
  </r>
  <r>
    <x v="452"/>
    <x v="111"/>
    <x v="4"/>
    <s v="Boots"/>
    <x v="5"/>
    <x v="2"/>
    <x v="1"/>
    <n v="123.33"/>
    <n v="8"/>
    <n v="986.64"/>
    <x v="6"/>
    <s v="Low"/>
    <s v="Average"/>
    <n v="-1000.41"/>
    <n v="0.1"/>
    <n v="887.976"/>
  </r>
  <r>
    <x v="453"/>
    <x v="226"/>
    <x v="5"/>
    <s v="Formal"/>
    <x v="4"/>
    <x v="5"/>
    <x v="2"/>
    <n v="229.4"/>
    <n v="3"/>
    <n v="688.2"/>
    <x v="11"/>
    <s v="Low"/>
    <s v="Average"/>
    <n v="-298.43999999999994"/>
    <n v="0.1"/>
    <n v="619.38000000000011"/>
  </r>
  <r>
    <x v="454"/>
    <x v="269"/>
    <x v="1"/>
    <s v="Casual"/>
    <x v="5"/>
    <x v="6"/>
    <x v="2"/>
    <n v="54.46"/>
    <n v="1"/>
    <n v="54.46"/>
    <x v="11"/>
    <s v="Low"/>
    <s v="Low"/>
    <n v="-633.74"/>
    <n v="0.1"/>
    <n v="49.014000000000003"/>
  </r>
  <r>
    <x v="455"/>
    <x v="203"/>
    <x v="2"/>
    <s v="Running"/>
    <x v="1"/>
    <x v="1"/>
    <x v="0"/>
    <n v="138.38"/>
    <n v="11"/>
    <n v="1522.18"/>
    <x v="0"/>
    <s v="Low"/>
    <s v="Good"/>
    <n v="1467.72"/>
    <n v="0.1"/>
    <n v="1369.962"/>
  </r>
  <r>
    <x v="456"/>
    <x v="99"/>
    <x v="5"/>
    <s v="Sports"/>
    <x v="5"/>
    <x v="1"/>
    <x v="1"/>
    <n v="32.5"/>
    <n v="19"/>
    <n v="617.5"/>
    <x v="10"/>
    <s v="Low"/>
    <s v="Average"/>
    <n v="-904.68000000000006"/>
    <n v="0.1"/>
    <n v="555.75"/>
  </r>
  <r>
    <x v="457"/>
    <x v="270"/>
    <x v="2"/>
    <s v="Boots"/>
    <x v="5"/>
    <x v="0"/>
    <x v="2"/>
    <n v="133.11000000000001"/>
    <n v="18"/>
    <n v="2395.98"/>
    <x v="6"/>
    <s v="High"/>
    <s v="Good"/>
    <n v="1778.48"/>
    <n v="0.1"/>
    <n v="2156.3820000000001"/>
  </r>
  <r>
    <x v="458"/>
    <x v="267"/>
    <x v="2"/>
    <s v="Casual"/>
    <x v="3"/>
    <x v="4"/>
    <x v="2"/>
    <n v="42.39"/>
    <n v="7"/>
    <n v="296.73"/>
    <x v="11"/>
    <s v="Low"/>
    <s v="Low"/>
    <n v="-2099.25"/>
    <n v="0.1"/>
    <n v="267.05700000000002"/>
  </r>
  <r>
    <x v="459"/>
    <x v="195"/>
    <x v="3"/>
    <s v="Sneakers"/>
    <x v="2"/>
    <x v="5"/>
    <x v="2"/>
    <n v="56.14"/>
    <n v="10"/>
    <n v="561.4"/>
    <x v="4"/>
    <s v="Low"/>
    <s v="Average"/>
    <n v="264.66999999999996"/>
    <n v="0.1"/>
    <n v="505.26"/>
  </r>
  <r>
    <x v="460"/>
    <x v="105"/>
    <x v="4"/>
    <s v="Formal"/>
    <x v="3"/>
    <x v="0"/>
    <x v="1"/>
    <n v="55.86"/>
    <n v="18"/>
    <n v="1005.48"/>
    <x v="8"/>
    <s v="Low"/>
    <s v="Average"/>
    <n v="444.08000000000004"/>
    <n v="0.1"/>
    <n v="904.93200000000002"/>
  </r>
  <r>
    <x v="461"/>
    <x v="26"/>
    <x v="1"/>
    <s v="Sports"/>
    <x v="5"/>
    <x v="1"/>
    <x v="2"/>
    <n v="172.83"/>
    <n v="17"/>
    <n v="2938.11"/>
    <x v="4"/>
    <s v="High"/>
    <s v="Good"/>
    <n v="1932.63"/>
    <n v="0.1"/>
    <n v="2644.299"/>
  </r>
  <r>
    <x v="462"/>
    <x v="271"/>
    <x v="4"/>
    <s v="Sneakers"/>
    <x v="1"/>
    <x v="5"/>
    <x v="2"/>
    <n v="194.13"/>
    <n v="3"/>
    <n v="582.39"/>
    <x v="10"/>
    <s v="Low"/>
    <s v="Average"/>
    <n v="-2355.7200000000003"/>
    <n v="0.1"/>
    <n v="524.15099999999995"/>
  </r>
  <r>
    <x v="463"/>
    <x v="272"/>
    <x v="1"/>
    <s v="Sports"/>
    <x v="4"/>
    <x v="6"/>
    <x v="0"/>
    <n v="158.34"/>
    <n v="1"/>
    <n v="158.34"/>
    <x v="7"/>
    <s v="Low"/>
    <s v="Low"/>
    <n v="-424.04999999999995"/>
    <n v="0.1"/>
    <n v="142.506"/>
  </r>
  <r>
    <x v="464"/>
    <x v="273"/>
    <x v="5"/>
    <s v="Formal"/>
    <x v="2"/>
    <x v="2"/>
    <x v="1"/>
    <n v="241.68"/>
    <n v="18"/>
    <n v="4350.24"/>
    <x v="5"/>
    <s v="High"/>
    <s v="Excellent"/>
    <n v="4191.8999999999996"/>
    <n v="0.1"/>
    <n v="3915.2159999999999"/>
  </r>
  <r>
    <x v="465"/>
    <x v="107"/>
    <x v="0"/>
    <s v="Sneakers"/>
    <x v="0"/>
    <x v="4"/>
    <x v="0"/>
    <n v="112.47"/>
    <n v="13"/>
    <n v="1462.11"/>
    <x v="8"/>
    <s v="Low"/>
    <s v="Average"/>
    <n v="-2888.13"/>
    <n v="0.1"/>
    <n v="1315.8989999999999"/>
  </r>
  <r>
    <x v="466"/>
    <x v="50"/>
    <x v="4"/>
    <s v="Casual"/>
    <x v="4"/>
    <x v="2"/>
    <x v="1"/>
    <n v="92.86"/>
    <n v="3"/>
    <n v="278.58"/>
    <x v="4"/>
    <s v="Low"/>
    <s v="Low"/>
    <n v="-1183.53"/>
    <n v="0.1"/>
    <n v="250.72199999999998"/>
  </r>
  <r>
    <x v="467"/>
    <x v="19"/>
    <x v="4"/>
    <s v="Sports"/>
    <x v="5"/>
    <x v="1"/>
    <x v="0"/>
    <n v="221.09"/>
    <n v="13"/>
    <n v="2874.17"/>
    <x v="1"/>
    <s v="High"/>
    <s v="Good"/>
    <n v="2595.59"/>
    <n v="0.1"/>
    <n v="2586.7530000000002"/>
  </r>
  <r>
    <x v="468"/>
    <x v="274"/>
    <x v="4"/>
    <s v="Sports"/>
    <x v="5"/>
    <x v="0"/>
    <x v="0"/>
    <n v="79.19"/>
    <n v="15"/>
    <n v="1187.8499999999999"/>
    <x v="7"/>
    <s v="Low"/>
    <s v="Average"/>
    <n v="-1686.3200000000002"/>
    <n v="0.1"/>
    <n v="1069.0650000000001"/>
  </r>
  <r>
    <x v="469"/>
    <x v="46"/>
    <x v="5"/>
    <s v="Sneakers"/>
    <x v="1"/>
    <x v="5"/>
    <x v="2"/>
    <n v="241.91"/>
    <n v="14"/>
    <n v="3386.74"/>
    <x v="10"/>
    <s v="High"/>
    <s v="Excellent"/>
    <n v="2198.89"/>
    <n v="0.1"/>
    <n v="3048.0659999999998"/>
  </r>
  <r>
    <x v="470"/>
    <x v="6"/>
    <x v="0"/>
    <s v="Sports"/>
    <x v="1"/>
    <x v="1"/>
    <x v="1"/>
    <n v="32.67"/>
    <n v="1"/>
    <n v="32.67"/>
    <x v="4"/>
    <s v="Low"/>
    <s v="Low"/>
    <n v="-3354.0699999999997"/>
    <n v="0.1"/>
    <n v="29.403000000000002"/>
  </r>
  <r>
    <x v="471"/>
    <x v="146"/>
    <x v="5"/>
    <s v="Running"/>
    <x v="0"/>
    <x v="6"/>
    <x v="2"/>
    <n v="243.37"/>
    <n v="11"/>
    <n v="2677.07"/>
    <x v="0"/>
    <s v="High"/>
    <s v="Good"/>
    <n v="2644.4"/>
    <n v="0.1"/>
    <n v="2409.3630000000003"/>
  </r>
  <r>
    <x v="472"/>
    <x v="275"/>
    <x v="3"/>
    <s v="Sneakers"/>
    <x v="1"/>
    <x v="0"/>
    <x v="1"/>
    <n v="39.5"/>
    <n v="18"/>
    <n v="711"/>
    <x v="4"/>
    <s v="Low"/>
    <s v="Average"/>
    <n v="-1966.0700000000002"/>
    <n v="0.1"/>
    <n v="639.9"/>
  </r>
  <r>
    <x v="473"/>
    <x v="276"/>
    <x v="3"/>
    <s v="Sports"/>
    <x v="0"/>
    <x v="3"/>
    <x v="2"/>
    <n v="226.05"/>
    <n v="6"/>
    <n v="1356.3"/>
    <x v="5"/>
    <s v="Low"/>
    <s v="Average"/>
    <n v="645.29999999999995"/>
    <n v="0.1"/>
    <n v="1220.67"/>
  </r>
  <r>
    <x v="474"/>
    <x v="153"/>
    <x v="3"/>
    <s v="Formal"/>
    <x v="0"/>
    <x v="6"/>
    <x v="2"/>
    <n v="146.09"/>
    <n v="3"/>
    <n v="438.27"/>
    <x v="1"/>
    <s v="Low"/>
    <s v="Low"/>
    <n v="-918.03"/>
    <n v="0.1"/>
    <n v="394.44299999999998"/>
  </r>
  <r>
    <x v="475"/>
    <x v="147"/>
    <x v="4"/>
    <s v="Sports"/>
    <x v="2"/>
    <x v="2"/>
    <x v="1"/>
    <n v="248.45"/>
    <n v="3"/>
    <n v="745.35"/>
    <x v="9"/>
    <s v="Low"/>
    <s v="Average"/>
    <n v="307.08000000000004"/>
    <n v="0.1"/>
    <n v="670.81500000000005"/>
  </r>
  <r>
    <x v="476"/>
    <x v="277"/>
    <x v="2"/>
    <s v="Casual"/>
    <x v="4"/>
    <x v="1"/>
    <x v="0"/>
    <n v="46.24"/>
    <n v="20"/>
    <n v="924.8"/>
    <x v="9"/>
    <s v="Low"/>
    <s v="Average"/>
    <n v="179.44999999999993"/>
    <n v="0.1"/>
    <n v="832.31999999999994"/>
  </r>
  <r>
    <x v="477"/>
    <x v="76"/>
    <x v="5"/>
    <s v="Sports"/>
    <x v="1"/>
    <x v="6"/>
    <x v="2"/>
    <n v="151.85"/>
    <n v="1"/>
    <n v="151.85"/>
    <x v="7"/>
    <s v="Low"/>
    <s v="Low"/>
    <n v="-772.94999999999993"/>
    <n v="0.1"/>
    <n v="136.66499999999999"/>
  </r>
  <r>
    <x v="478"/>
    <x v="89"/>
    <x v="5"/>
    <s v="Boots"/>
    <x v="1"/>
    <x v="0"/>
    <x v="2"/>
    <n v="243.25"/>
    <n v="11"/>
    <n v="2675.75"/>
    <x v="2"/>
    <s v="High"/>
    <s v="Good"/>
    <n v="2523.9"/>
    <n v="0.1"/>
    <n v="2408.1750000000002"/>
  </r>
  <r>
    <x v="479"/>
    <x v="77"/>
    <x v="1"/>
    <s v="Casual"/>
    <x v="4"/>
    <x v="3"/>
    <x v="0"/>
    <n v="145.08000000000001"/>
    <n v="20"/>
    <n v="2901.6"/>
    <x v="7"/>
    <s v="High"/>
    <s v="Good"/>
    <n v="225.84999999999991"/>
    <n v="0.1"/>
    <n v="2611.44"/>
  </r>
  <r>
    <x v="480"/>
    <x v="165"/>
    <x v="4"/>
    <s v="Boots"/>
    <x v="3"/>
    <x v="2"/>
    <x v="2"/>
    <n v="168.47"/>
    <n v="11"/>
    <n v="1853.17"/>
    <x v="5"/>
    <s v="Low"/>
    <s v="Good"/>
    <n v="-1048.4299999999998"/>
    <n v="0.1"/>
    <n v="1667.8530000000001"/>
  </r>
  <r>
    <x v="481"/>
    <x v="260"/>
    <x v="4"/>
    <s v="Formal"/>
    <x v="0"/>
    <x v="4"/>
    <x v="2"/>
    <n v="183.06"/>
    <n v="8"/>
    <n v="1464.48"/>
    <x v="3"/>
    <s v="Low"/>
    <s v="Average"/>
    <n v="-388.69000000000005"/>
    <n v="0.1"/>
    <n v="1318.0320000000002"/>
  </r>
  <r>
    <x v="482"/>
    <x v="213"/>
    <x v="2"/>
    <s v="Casual"/>
    <x v="1"/>
    <x v="5"/>
    <x v="0"/>
    <n v="130"/>
    <n v="4"/>
    <n v="520"/>
    <x v="5"/>
    <s v="Low"/>
    <s v="Average"/>
    <n v="-944.48"/>
    <n v="0.1"/>
    <n v="468"/>
  </r>
  <r>
    <x v="483"/>
    <x v="278"/>
    <x v="0"/>
    <s v="Boots"/>
    <x v="4"/>
    <x v="2"/>
    <x v="0"/>
    <n v="168.06"/>
    <n v="18"/>
    <n v="3025.08"/>
    <x v="8"/>
    <s v="High"/>
    <s v="Excellent"/>
    <n v="2505.08"/>
    <n v="0.1"/>
    <n v="2722.5720000000001"/>
  </r>
  <r>
    <x v="484"/>
    <x v="279"/>
    <x v="1"/>
    <s v="Running"/>
    <x v="4"/>
    <x v="2"/>
    <x v="2"/>
    <n v="158.55000000000001"/>
    <n v="10"/>
    <n v="1585.5"/>
    <x v="2"/>
    <s v="Low"/>
    <s v="Good"/>
    <n v="-1439.58"/>
    <n v="0.1"/>
    <n v="1426.95"/>
  </r>
  <r>
    <x v="485"/>
    <x v="1"/>
    <x v="3"/>
    <s v="Sports"/>
    <x v="3"/>
    <x v="0"/>
    <x v="1"/>
    <n v="228.25"/>
    <n v="10"/>
    <n v="2282.5"/>
    <x v="1"/>
    <s v="High"/>
    <s v="Good"/>
    <n v="697"/>
    <n v="0.1"/>
    <n v="2054.25"/>
  </r>
  <r>
    <x v="486"/>
    <x v="2"/>
    <x v="0"/>
    <s v="Formal"/>
    <x v="1"/>
    <x v="6"/>
    <x v="1"/>
    <n v="40"/>
    <n v="13"/>
    <n v="520"/>
    <x v="2"/>
    <s v="Low"/>
    <s v="Average"/>
    <n v="-1762.5"/>
    <n v="0.1"/>
    <n v="468"/>
  </r>
  <r>
    <x v="487"/>
    <x v="188"/>
    <x v="2"/>
    <s v="Boots"/>
    <x v="4"/>
    <x v="5"/>
    <x v="0"/>
    <n v="91.81"/>
    <n v="18"/>
    <n v="1652.58"/>
    <x v="5"/>
    <s v="Low"/>
    <s v="Good"/>
    <n v="1132.58"/>
    <n v="0.1"/>
    <n v="1487.3219999999999"/>
  </r>
  <r>
    <x v="488"/>
    <x v="280"/>
    <x v="2"/>
    <s v="Boots"/>
    <x v="5"/>
    <x v="1"/>
    <x v="0"/>
    <n v="239.09"/>
    <n v="18"/>
    <n v="4303.62"/>
    <x v="5"/>
    <s v="High"/>
    <s v="Excellent"/>
    <n v="2651.04"/>
    <n v="0.1"/>
    <n v="3873.2579999999998"/>
  </r>
  <r>
    <x v="489"/>
    <x v="139"/>
    <x v="3"/>
    <s v="Boots"/>
    <x v="1"/>
    <x v="1"/>
    <x v="1"/>
    <n v="225.86"/>
    <n v="12"/>
    <n v="2710.32"/>
    <x v="8"/>
    <s v="High"/>
    <s v="Good"/>
    <n v="-1593.2999999999997"/>
    <n v="0.1"/>
    <n v="2439.288"/>
  </r>
  <r>
    <x v="490"/>
    <x v="203"/>
    <x v="4"/>
    <s v="Formal"/>
    <x v="5"/>
    <x v="1"/>
    <x v="0"/>
    <n v="130.24"/>
    <n v="13"/>
    <n v="1693.12"/>
    <x v="0"/>
    <s v="Low"/>
    <s v="Good"/>
    <n v="-1017.2000000000003"/>
    <n v="0.1"/>
    <n v="1523.808"/>
  </r>
  <r>
    <x v="491"/>
    <x v="113"/>
    <x v="2"/>
    <s v="Boots"/>
    <x v="1"/>
    <x v="5"/>
    <x v="1"/>
    <n v="166.43"/>
    <n v="8"/>
    <n v="1331.44"/>
    <x v="6"/>
    <s v="Low"/>
    <s v="Average"/>
    <n v="-361.67999999999984"/>
    <n v="0.1"/>
    <n v="1198.296"/>
  </r>
  <r>
    <x v="492"/>
    <x v="83"/>
    <x v="3"/>
    <s v="Formal"/>
    <x v="0"/>
    <x v="6"/>
    <x v="2"/>
    <n v="91.02"/>
    <n v="19"/>
    <n v="1729.38"/>
    <x v="8"/>
    <s v="Low"/>
    <s v="Good"/>
    <n v="397.94000000000005"/>
    <n v="0.1"/>
    <n v="1556.4420000000002"/>
  </r>
  <r>
    <x v="493"/>
    <x v="67"/>
    <x v="1"/>
    <s v="Sneakers"/>
    <x v="2"/>
    <x v="3"/>
    <x v="0"/>
    <n v="71.39"/>
    <n v="19"/>
    <n v="1356.41"/>
    <x v="8"/>
    <s v="Low"/>
    <s v="Average"/>
    <n v="-372.97"/>
    <n v="0.1"/>
    <n v="1220.769"/>
  </r>
  <r>
    <x v="494"/>
    <x v="147"/>
    <x v="4"/>
    <s v="Formal"/>
    <x v="5"/>
    <x v="1"/>
    <x v="1"/>
    <n v="132.01"/>
    <n v="4"/>
    <n v="528.04"/>
    <x v="9"/>
    <s v="Low"/>
    <s v="Average"/>
    <n v="-828.37000000000012"/>
    <n v="0.1"/>
    <n v="475.23599999999999"/>
  </r>
  <r>
    <x v="495"/>
    <x v="281"/>
    <x v="4"/>
    <s v="Sports"/>
    <x v="4"/>
    <x v="4"/>
    <x v="0"/>
    <n v="107.74"/>
    <n v="12"/>
    <n v="1292.8800000000001"/>
    <x v="1"/>
    <s v="Low"/>
    <s v="Average"/>
    <n v="764.84000000000015"/>
    <n v="0.1"/>
    <n v="1163.5920000000001"/>
  </r>
  <r>
    <x v="496"/>
    <x v="282"/>
    <x v="4"/>
    <s v="Formal"/>
    <x v="5"/>
    <x v="6"/>
    <x v="1"/>
    <n v="158.4"/>
    <n v="16"/>
    <n v="2534.4"/>
    <x v="9"/>
    <s v="High"/>
    <s v="Good"/>
    <n v="1241.52"/>
    <n v="0.1"/>
    <n v="2280.96"/>
  </r>
  <r>
    <x v="497"/>
    <x v="82"/>
    <x v="4"/>
    <s v="Running"/>
    <x v="0"/>
    <x v="1"/>
    <x v="1"/>
    <n v="47.1"/>
    <n v="15"/>
    <n v="706.5"/>
    <x v="8"/>
    <s v="Low"/>
    <s v="Average"/>
    <n v="-1827.9"/>
    <n v="0.1"/>
    <n v="635.85"/>
  </r>
  <r>
    <x v="498"/>
    <x v="177"/>
    <x v="4"/>
    <s v="Boots"/>
    <x v="5"/>
    <x v="2"/>
    <x v="0"/>
    <n v="244.37"/>
    <n v="1"/>
    <n v="244.37"/>
    <x v="4"/>
    <s v="Low"/>
    <s v="Low"/>
    <n v="-462.13"/>
    <n v="0.1"/>
    <n v="219.93300000000002"/>
  </r>
  <r>
    <x v="499"/>
    <x v="111"/>
    <x v="3"/>
    <s v="Sneakers"/>
    <x v="2"/>
    <x v="3"/>
    <x v="1"/>
    <n v="246.97"/>
    <n v="17"/>
    <n v="4198.49"/>
    <x v="6"/>
    <s v="High"/>
    <s v="Excellent"/>
    <n v="3954.12"/>
    <n v="0.1"/>
    <n v="3778.6410000000001"/>
  </r>
  <r>
    <x v="500"/>
    <x v="224"/>
    <x v="3"/>
    <s v="Formal"/>
    <x v="3"/>
    <x v="0"/>
    <x v="0"/>
    <n v="183.6"/>
    <n v="15"/>
    <n v="2754"/>
    <x v="2"/>
    <s v="High"/>
    <s v="Good"/>
    <n v="-1444.4899999999998"/>
    <n v="0.1"/>
    <n v="2478.6"/>
  </r>
  <r>
    <x v="501"/>
    <x v="0"/>
    <x v="5"/>
    <s v="Running"/>
    <x v="3"/>
    <x v="5"/>
    <x v="0"/>
    <n v="147.94"/>
    <n v="14"/>
    <n v="2071.16"/>
    <x v="0"/>
    <s v="High"/>
    <s v="Good"/>
    <n v="-682.84000000000015"/>
    <n v="0.1"/>
    <n v="1864.0439999999999"/>
  </r>
  <r>
    <x v="502"/>
    <x v="230"/>
    <x v="5"/>
    <s v="Formal"/>
    <x v="5"/>
    <x v="2"/>
    <x v="0"/>
    <n v="98.1"/>
    <n v="19"/>
    <n v="1863.9"/>
    <x v="2"/>
    <s v="Low"/>
    <s v="Good"/>
    <n v="-207.25999999999976"/>
    <n v="0.1"/>
    <n v="1677.5100000000002"/>
  </r>
  <r>
    <x v="503"/>
    <x v="256"/>
    <x v="1"/>
    <s v="Running"/>
    <x v="1"/>
    <x v="1"/>
    <x v="1"/>
    <n v="209.03"/>
    <n v="9"/>
    <n v="1881.27"/>
    <x v="10"/>
    <s v="Low"/>
    <s v="Good"/>
    <n v="17.369999999999891"/>
    <n v="0.1"/>
    <n v="1693.143"/>
  </r>
  <r>
    <x v="504"/>
    <x v="46"/>
    <x v="4"/>
    <s v="Casual"/>
    <x v="4"/>
    <x v="1"/>
    <x v="2"/>
    <n v="180.64"/>
    <n v="12"/>
    <n v="2167.6799999999998"/>
    <x v="10"/>
    <s v="High"/>
    <s v="Good"/>
    <n v="286.40999999999985"/>
    <n v="0.1"/>
    <n v="1950.9119999999998"/>
  </r>
  <r>
    <x v="505"/>
    <x v="263"/>
    <x v="2"/>
    <s v="Boots"/>
    <x v="0"/>
    <x v="5"/>
    <x v="2"/>
    <n v="65.78"/>
    <n v="16"/>
    <n v="1052.48"/>
    <x v="8"/>
    <s v="Low"/>
    <s v="Average"/>
    <n v="-1115.1999999999998"/>
    <n v="0.1"/>
    <n v="947.23200000000008"/>
  </r>
  <r>
    <x v="506"/>
    <x v="81"/>
    <x v="2"/>
    <s v="Running"/>
    <x v="0"/>
    <x v="3"/>
    <x v="2"/>
    <n v="230.4"/>
    <n v="13"/>
    <n v="2995.2"/>
    <x v="0"/>
    <s v="High"/>
    <s v="Good"/>
    <n v="1942.7199999999998"/>
    <n v="0.1"/>
    <n v="2695.68"/>
  </r>
  <r>
    <x v="507"/>
    <x v="283"/>
    <x v="1"/>
    <s v="Boots"/>
    <x v="0"/>
    <x v="5"/>
    <x v="1"/>
    <n v="210.96"/>
    <n v="6"/>
    <n v="1265.76"/>
    <x v="0"/>
    <s v="Low"/>
    <s v="Average"/>
    <n v="-1729.4399999999998"/>
    <n v="0.1"/>
    <n v="1139.184"/>
  </r>
  <r>
    <x v="508"/>
    <x v="275"/>
    <x v="4"/>
    <s v="Running"/>
    <x v="2"/>
    <x v="3"/>
    <x v="0"/>
    <n v="238.96"/>
    <n v="5"/>
    <n v="1194.8"/>
    <x v="4"/>
    <s v="Low"/>
    <s v="Average"/>
    <n v="-70.960000000000036"/>
    <n v="0.1"/>
    <n v="1075.32"/>
  </r>
  <r>
    <x v="509"/>
    <x v="38"/>
    <x v="1"/>
    <s v="Casual"/>
    <x v="1"/>
    <x v="6"/>
    <x v="2"/>
    <n v="189.66"/>
    <n v="12"/>
    <n v="2275.92"/>
    <x v="10"/>
    <s v="High"/>
    <s v="Good"/>
    <n v="1081.1200000000001"/>
    <n v="0.1"/>
    <n v="2048.328"/>
  </r>
  <r>
    <x v="510"/>
    <x v="236"/>
    <x v="2"/>
    <s v="Formal"/>
    <x v="4"/>
    <x v="0"/>
    <x v="2"/>
    <n v="164.95"/>
    <n v="5"/>
    <n v="824.75"/>
    <x v="0"/>
    <s v="Low"/>
    <s v="Average"/>
    <n v="-1451.17"/>
    <n v="0.1"/>
    <n v="742.27499999999998"/>
  </r>
  <r>
    <x v="511"/>
    <x v="11"/>
    <x v="1"/>
    <s v="Boots"/>
    <x v="2"/>
    <x v="5"/>
    <x v="0"/>
    <n v="122.01"/>
    <n v="18"/>
    <n v="2196.1799999999998"/>
    <x v="0"/>
    <s v="High"/>
    <s v="Good"/>
    <n v="1371.4299999999998"/>
    <n v="0.1"/>
    <n v="1976.5619999999999"/>
  </r>
  <r>
    <x v="512"/>
    <x v="115"/>
    <x v="3"/>
    <s v="Casual"/>
    <x v="0"/>
    <x v="4"/>
    <x v="2"/>
    <n v="235.2"/>
    <n v="10"/>
    <n v="2352"/>
    <x v="9"/>
    <s v="High"/>
    <s v="Good"/>
    <n v="155.82000000000016"/>
    <n v="0.1"/>
    <n v="2116.8000000000002"/>
  </r>
  <r>
    <x v="513"/>
    <x v="48"/>
    <x v="4"/>
    <s v="Running"/>
    <x v="4"/>
    <x v="0"/>
    <x v="0"/>
    <n v="220.53"/>
    <n v="2"/>
    <n v="441.06"/>
    <x v="0"/>
    <s v="Low"/>
    <s v="Low"/>
    <n v="-1910.94"/>
    <n v="0.1"/>
    <n v="396.95400000000001"/>
  </r>
  <r>
    <x v="514"/>
    <x v="200"/>
    <x v="2"/>
    <s v="Boots"/>
    <x v="4"/>
    <x v="6"/>
    <x v="1"/>
    <n v="39.950000000000003"/>
    <n v="18"/>
    <n v="719.1"/>
    <x v="5"/>
    <s v="Low"/>
    <s v="Average"/>
    <n v="278.04000000000002"/>
    <n v="0.1"/>
    <n v="647.19000000000005"/>
  </r>
  <r>
    <x v="515"/>
    <x v="116"/>
    <x v="1"/>
    <s v="Formal"/>
    <x v="4"/>
    <x v="0"/>
    <x v="0"/>
    <n v="35.799999999999997"/>
    <n v="14"/>
    <n v="501.2"/>
    <x v="9"/>
    <s v="Low"/>
    <s v="Average"/>
    <n v="-217.90000000000003"/>
    <n v="0.1"/>
    <n v="451.08"/>
  </r>
  <r>
    <x v="516"/>
    <x v="175"/>
    <x v="3"/>
    <s v="Sports"/>
    <x v="5"/>
    <x v="3"/>
    <x v="0"/>
    <n v="112.82"/>
    <n v="1"/>
    <n v="112.82"/>
    <x v="3"/>
    <s v="Low"/>
    <s v="Low"/>
    <n v="-388.38"/>
    <n v="0.1"/>
    <n v="101.538"/>
  </r>
  <r>
    <x v="517"/>
    <x v="71"/>
    <x v="3"/>
    <s v="Formal"/>
    <x v="1"/>
    <x v="2"/>
    <x v="2"/>
    <n v="208.32"/>
    <n v="10"/>
    <n v="2083.1999999999998"/>
    <x v="3"/>
    <s v="High"/>
    <s v="Good"/>
    <n v="1970.3799999999999"/>
    <n v="0.1"/>
    <n v="1874.8799999999999"/>
  </r>
  <r>
    <x v="518"/>
    <x v="238"/>
    <x v="0"/>
    <s v="Sneakers"/>
    <x v="5"/>
    <x v="3"/>
    <x v="1"/>
    <n v="247.2"/>
    <n v="17"/>
    <n v="4202.3999999999996"/>
    <x v="3"/>
    <s v="High"/>
    <s v="Excellent"/>
    <n v="2119.1999999999998"/>
    <n v="0.1"/>
    <n v="3782.16"/>
  </r>
  <r>
    <x v="519"/>
    <x v="237"/>
    <x v="0"/>
    <s v="Boots"/>
    <x v="4"/>
    <x v="5"/>
    <x v="0"/>
    <n v="63.09"/>
    <n v="18"/>
    <n v="1135.6199999999999"/>
    <x v="5"/>
    <s v="Low"/>
    <s v="Average"/>
    <n v="-3066.7799999999997"/>
    <n v="0.1"/>
    <n v="1022.0579999999999"/>
  </r>
  <r>
    <x v="520"/>
    <x v="284"/>
    <x v="1"/>
    <s v="Boots"/>
    <x v="2"/>
    <x v="3"/>
    <x v="0"/>
    <n v="160.71"/>
    <n v="4"/>
    <n v="642.84"/>
    <x v="2"/>
    <s v="Low"/>
    <s v="Average"/>
    <n v="-492.77999999999986"/>
    <n v="0.1"/>
    <n v="578.55600000000004"/>
  </r>
  <r>
    <x v="521"/>
    <x v="230"/>
    <x v="4"/>
    <s v="Running"/>
    <x v="4"/>
    <x v="4"/>
    <x v="0"/>
    <n v="113.8"/>
    <n v="9"/>
    <n v="1024.2"/>
    <x v="2"/>
    <s v="Low"/>
    <s v="Average"/>
    <n v="381.36"/>
    <n v="0.1"/>
    <n v="921.78000000000009"/>
  </r>
  <r>
    <x v="522"/>
    <x v="261"/>
    <x v="1"/>
    <s v="Sneakers"/>
    <x v="3"/>
    <x v="3"/>
    <x v="1"/>
    <n v="243.38"/>
    <n v="7"/>
    <n v="1703.66"/>
    <x v="6"/>
    <s v="Low"/>
    <s v="Good"/>
    <n v="679.46"/>
    <n v="0.1"/>
    <n v="1533.2940000000001"/>
  </r>
  <r>
    <x v="523"/>
    <x v="81"/>
    <x v="3"/>
    <s v="Sneakers"/>
    <x v="2"/>
    <x v="4"/>
    <x v="0"/>
    <n v="215.27"/>
    <n v="14"/>
    <n v="3013.78"/>
    <x v="0"/>
    <s v="High"/>
    <s v="Excellent"/>
    <n v="1310.1200000000001"/>
    <n v="0.1"/>
    <n v="2712.402"/>
  </r>
  <r>
    <x v="524"/>
    <x v="256"/>
    <x v="2"/>
    <s v="Sports"/>
    <x v="1"/>
    <x v="3"/>
    <x v="1"/>
    <n v="214.43"/>
    <n v="2"/>
    <n v="428.86"/>
    <x v="10"/>
    <s v="Low"/>
    <s v="Low"/>
    <n v="-2584.92"/>
    <n v="0.1"/>
    <n v="385.97400000000005"/>
  </r>
  <r>
    <x v="525"/>
    <x v="71"/>
    <x v="4"/>
    <s v="Boots"/>
    <x v="0"/>
    <x v="3"/>
    <x v="1"/>
    <n v="133.11000000000001"/>
    <n v="6"/>
    <n v="798.66"/>
    <x v="3"/>
    <s v="Low"/>
    <s v="Average"/>
    <n v="369.79999999999995"/>
    <n v="0.1"/>
    <n v="718.79399999999998"/>
  </r>
  <r>
    <x v="526"/>
    <x v="12"/>
    <x v="1"/>
    <s v="Running"/>
    <x v="2"/>
    <x v="4"/>
    <x v="2"/>
    <n v="121.26"/>
    <n v="17"/>
    <n v="2061.42"/>
    <x v="6"/>
    <s v="High"/>
    <s v="Good"/>
    <n v="1262.7600000000002"/>
    <n v="0.1"/>
    <n v="1855.278"/>
  </r>
  <r>
    <x v="527"/>
    <x v="41"/>
    <x v="1"/>
    <s v="Casual"/>
    <x v="3"/>
    <x v="4"/>
    <x v="0"/>
    <n v="90.15"/>
    <n v="9"/>
    <n v="811.35"/>
    <x v="11"/>
    <s v="Low"/>
    <s v="Average"/>
    <n v="-1250.0700000000002"/>
    <n v="0.1"/>
    <n v="730.21500000000003"/>
  </r>
  <r>
    <x v="528"/>
    <x v="37"/>
    <x v="1"/>
    <s v="Sports"/>
    <x v="2"/>
    <x v="4"/>
    <x v="1"/>
    <n v="42.4"/>
    <n v="5"/>
    <n v="212"/>
    <x v="6"/>
    <s v="Low"/>
    <s v="Low"/>
    <n v="-599.35"/>
    <n v="0.1"/>
    <n v="190.8"/>
  </r>
  <r>
    <x v="529"/>
    <x v="285"/>
    <x v="3"/>
    <s v="Sneakers"/>
    <x v="3"/>
    <x v="3"/>
    <x v="1"/>
    <n v="220.24"/>
    <n v="16"/>
    <n v="3523.84"/>
    <x v="5"/>
    <s v="High"/>
    <s v="Excellent"/>
    <n v="3311.84"/>
    <n v="0.1"/>
    <n v="3171.4560000000001"/>
  </r>
  <r>
    <x v="530"/>
    <x v="172"/>
    <x v="5"/>
    <s v="Running"/>
    <x v="3"/>
    <x v="4"/>
    <x v="0"/>
    <n v="208.84"/>
    <n v="13"/>
    <n v="2714.92"/>
    <x v="2"/>
    <s v="High"/>
    <s v="Good"/>
    <n v="-808.92000000000007"/>
    <n v="0.1"/>
    <n v="2443.4280000000003"/>
  </r>
  <r>
    <x v="531"/>
    <x v="47"/>
    <x v="1"/>
    <s v="Sports"/>
    <x v="3"/>
    <x v="3"/>
    <x v="2"/>
    <n v="249.94"/>
    <n v="17"/>
    <n v="4248.9799999999996"/>
    <x v="5"/>
    <s v="High"/>
    <s v="Excellent"/>
    <n v="1534.0599999999995"/>
    <n v="0.1"/>
    <n v="3824.0819999999999"/>
  </r>
  <r>
    <x v="532"/>
    <x v="43"/>
    <x v="2"/>
    <s v="Running"/>
    <x v="3"/>
    <x v="1"/>
    <x v="1"/>
    <n v="249.26"/>
    <n v="11"/>
    <n v="2741.86"/>
    <x v="9"/>
    <s v="High"/>
    <s v="Good"/>
    <n v="-1507.1199999999994"/>
    <n v="0.1"/>
    <n v="2467.674"/>
  </r>
  <r>
    <x v="533"/>
    <x v="286"/>
    <x v="0"/>
    <s v="Sneakers"/>
    <x v="4"/>
    <x v="0"/>
    <x v="2"/>
    <n v="152.19"/>
    <n v="12"/>
    <n v="1826.28"/>
    <x v="2"/>
    <s v="Low"/>
    <s v="Good"/>
    <n v="-915.58000000000015"/>
    <n v="0.1"/>
    <n v="1643.652"/>
  </r>
  <r>
    <x v="534"/>
    <x v="99"/>
    <x v="4"/>
    <s v="Sports"/>
    <x v="0"/>
    <x v="3"/>
    <x v="1"/>
    <n v="199.18"/>
    <n v="16"/>
    <n v="3186.88"/>
    <x v="10"/>
    <s v="High"/>
    <s v="Excellent"/>
    <n v="1360.6000000000001"/>
    <n v="0.1"/>
    <n v="2868.192"/>
  </r>
  <r>
    <x v="535"/>
    <x v="9"/>
    <x v="2"/>
    <s v="Formal"/>
    <x v="0"/>
    <x v="2"/>
    <x v="0"/>
    <n v="237.85"/>
    <n v="5"/>
    <n v="1189.25"/>
    <x v="3"/>
    <s v="Low"/>
    <s v="Average"/>
    <n v="-1997.63"/>
    <n v="0.1"/>
    <n v="1070.325"/>
  </r>
  <r>
    <x v="536"/>
    <x v="152"/>
    <x v="1"/>
    <s v="Formal"/>
    <x v="5"/>
    <x v="1"/>
    <x v="0"/>
    <n v="216.92"/>
    <n v="4"/>
    <n v="867.68"/>
    <x v="11"/>
    <s v="Low"/>
    <s v="Average"/>
    <n v="-321.57000000000005"/>
    <n v="0.1"/>
    <n v="780.91199999999992"/>
  </r>
  <r>
    <x v="537"/>
    <x v="89"/>
    <x v="0"/>
    <s v="Formal"/>
    <x v="2"/>
    <x v="2"/>
    <x v="0"/>
    <n v="84.42"/>
    <n v="15"/>
    <n v="1266.3"/>
    <x v="2"/>
    <s v="Low"/>
    <s v="Average"/>
    <n v="398.62"/>
    <n v="0.1"/>
    <n v="1139.67"/>
  </r>
  <r>
    <x v="538"/>
    <x v="265"/>
    <x v="3"/>
    <s v="Sports"/>
    <x v="5"/>
    <x v="2"/>
    <x v="2"/>
    <n v="129.12"/>
    <n v="10"/>
    <n v="1291.2"/>
    <x v="0"/>
    <s v="Low"/>
    <s v="Average"/>
    <n v="24.900000000000091"/>
    <n v="0.1"/>
    <n v="1162.0800000000002"/>
  </r>
  <r>
    <x v="539"/>
    <x v="56"/>
    <x v="4"/>
    <s v="Boots"/>
    <x v="3"/>
    <x v="0"/>
    <x v="0"/>
    <n v="58.42"/>
    <n v="3"/>
    <n v="175.26"/>
    <x v="6"/>
    <s v="Low"/>
    <s v="Low"/>
    <n v="-1115.94"/>
    <n v="0.1"/>
    <n v="157.73400000000001"/>
  </r>
  <r>
    <x v="540"/>
    <x v="159"/>
    <x v="1"/>
    <s v="Boots"/>
    <x v="2"/>
    <x v="6"/>
    <x v="1"/>
    <n v="239.89"/>
    <n v="10"/>
    <n v="2398.9"/>
    <x v="5"/>
    <s v="High"/>
    <s v="Good"/>
    <n v="2223.6400000000003"/>
    <n v="0.1"/>
    <n v="2159.0100000000002"/>
  </r>
  <r>
    <x v="541"/>
    <x v="161"/>
    <x v="0"/>
    <s v="Casual"/>
    <x v="4"/>
    <x v="1"/>
    <x v="0"/>
    <n v="163.36000000000001"/>
    <n v="4"/>
    <n v="653.44000000000005"/>
    <x v="4"/>
    <s v="Low"/>
    <s v="Average"/>
    <n v="-1745.46"/>
    <n v="0.1"/>
    <n v="588.09600000000012"/>
  </r>
  <r>
    <x v="542"/>
    <x v="97"/>
    <x v="2"/>
    <s v="Boots"/>
    <x v="4"/>
    <x v="1"/>
    <x v="0"/>
    <n v="80.3"/>
    <n v="8"/>
    <n v="642.4"/>
    <x v="3"/>
    <s v="Low"/>
    <s v="Average"/>
    <n v="-11.040000000000077"/>
    <n v="0.1"/>
    <n v="578.16"/>
  </r>
  <r>
    <x v="543"/>
    <x v="82"/>
    <x v="0"/>
    <s v="Formal"/>
    <x v="3"/>
    <x v="0"/>
    <x v="2"/>
    <n v="177.77"/>
    <n v="11"/>
    <n v="1955.47"/>
    <x v="8"/>
    <s v="Low"/>
    <s v="Good"/>
    <n v="1313.0700000000002"/>
    <n v="0.1"/>
    <n v="1759.923"/>
  </r>
  <r>
    <x v="544"/>
    <x v="287"/>
    <x v="5"/>
    <s v="Running"/>
    <x v="3"/>
    <x v="4"/>
    <x v="0"/>
    <n v="165.99"/>
    <n v="8"/>
    <n v="1327.92"/>
    <x v="4"/>
    <s v="Low"/>
    <s v="Average"/>
    <n v="-627.54999999999995"/>
    <n v="0.1"/>
    <n v="1195.1280000000002"/>
  </r>
  <r>
    <x v="545"/>
    <x v="6"/>
    <x v="4"/>
    <s v="Sports"/>
    <x v="2"/>
    <x v="6"/>
    <x v="0"/>
    <n v="108.8"/>
    <n v="11"/>
    <n v="1196.8"/>
    <x v="4"/>
    <s v="Low"/>
    <s v="Average"/>
    <n v="-131.12000000000012"/>
    <n v="0.1"/>
    <n v="1077.1199999999999"/>
  </r>
  <r>
    <x v="546"/>
    <x v="174"/>
    <x v="0"/>
    <s v="Sneakers"/>
    <x v="1"/>
    <x v="1"/>
    <x v="1"/>
    <n v="54.98"/>
    <n v="5"/>
    <n v="274.89999999999998"/>
    <x v="0"/>
    <s v="Low"/>
    <s v="Low"/>
    <n v="-921.9"/>
    <n v="0.1"/>
    <n v="247.41"/>
  </r>
  <r>
    <x v="547"/>
    <x v="265"/>
    <x v="5"/>
    <s v="Sports"/>
    <x v="3"/>
    <x v="0"/>
    <x v="1"/>
    <n v="177.75"/>
    <n v="6"/>
    <n v="1066.5"/>
    <x v="0"/>
    <s v="Low"/>
    <s v="Average"/>
    <n v="791.6"/>
    <n v="0.1"/>
    <n v="959.85"/>
  </r>
  <r>
    <x v="548"/>
    <x v="243"/>
    <x v="2"/>
    <s v="Boots"/>
    <x v="4"/>
    <x v="4"/>
    <x v="0"/>
    <n v="144.47"/>
    <n v="14"/>
    <n v="2022.58"/>
    <x v="1"/>
    <s v="High"/>
    <s v="Good"/>
    <n v="956.07999999999993"/>
    <n v="0.1"/>
    <n v="1820.3219999999999"/>
  </r>
  <r>
    <x v="549"/>
    <x v="288"/>
    <x v="3"/>
    <s v="Running"/>
    <x v="1"/>
    <x v="2"/>
    <x v="2"/>
    <n v="199.91"/>
    <n v="4"/>
    <n v="799.64"/>
    <x v="4"/>
    <s v="Low"/>
    <s v="Average"/>
    <n v="-1222.94"/>
    <n v="0.1"/>
    <n v="719.67600000000004"/>
  </r>
  <r>
    <x v="550"/>
    <x v="101"/>
    <x v="4"/>
    <s v="Casual"/>
    <x v="2"/>
    <x v="3"/>
    <x v="1"/>
    <n v="144.44"/>
    <n v="14"/>
    <n v="2022.16"/>
    <x v="7"/>
    <s v="High"/>
    <s v="Good"/>
    <n v="1222.52"/>
    <n v="0.1"/>
    <n v="1819.9440000000002"/>
  </r>
  <r>
    <x v="551"/>
    <x v="275"/>
    <x v="2"/>
    <s v="Sneakers"/>
    <x v="1"/>
    <x v="2"/>
    <x v="1"/>
    <n v="217.48"/>
    <n v="8"/>
    <n v="1739.84"/>
    <x v="4"/>
    <s v="Low"/>
    <s v="Good"/>
    <n v="-282.32000000000016"/>
    <n v="0.1"/>
    <n v="1565.856"/>
  </r>
  <r>
    <x v="552"/>
    <x v="289"/>
    <x v="1"/>
    <s v="Sports"/>
    <x v="2"/>
    <x v="5"/>
    <x v="1"/>
    <n v="151.41999999999999"/>
    <n v="1"/>
    <n v="151.41999999999999"/>
    <x v="6"/>
    <s v="Low"/>
    <s v="Low"/>
    <n v="-1588.4199999999998"/>
    <n v="0.1"/>
    <n v="136.27799999999999"/>
  </r>
  <r>
    <x v="553"/>
    <x v="290"/>
    <x v="1"/>
    <s v="Formal"/>
    <x v="0"/>
    <x v="2"/>
    <x v="0"/>
    <n v="153.41"/>
    <n v="7"/>
    <n v="1073.8699999999999"/>
    <x v="9"/>
    <s v="Low"/>
    <s v="Average"/>
    <n v="922.44999999999993"/>
    <n v="0.1"/>
    <n v="966.48299999999995"/>
  </r>
  <r>
    <x v="554"/>
    <x v="219"/>
    <x v="5"/>
    <s v="Running"/>
    <x v="2"/>
    <x v="6"/>
    <x v="1"/>
    <n v="222.86"/>
    <n v="16"/>
    <n v="3565.76"/>
    <x v="6"/>
    <s v="High"/>
    <s v="Excellent"/>
    <n v="2491.8900000000003"/>
    <n v="0.1"/>
    <n v="3209.1840000000002"/>
  </r>
  <r>
    <x v="555"/>
    <x v="133"/>
    <x v="2"/>
    <s v="Running"/>
    <x v="0"/>
    <x v="3"/>
    <x v="0"/>
    <n v="118.77"/>
    <n v="3"/>
    <n v="356.31"/>
    <x v="0"/>
    <s v="Low"/>
    <s v="Low"/>
    <n v="-3209.4500000000003"/>
    <n v="0.1"/>
    <n v="320.67900000000003"/>
  </r>
  <r>
    <x v="556"/>
    <x v="205"/>
    <x v="5"/>
    <s v="Sports"/>
    <x v="1"/>
    <x v="2"/>
    <x v="0"/>
    <n v="59.48"/>
    <n v="19"/>
    <n v="1130.1199999999999"/>
    <x v="5"/>
    <s v="Low"/>
    <s v="Average"/>
    <n v="773.81"/>
    <n v="0.1"/>
    <n v="1017.1079999999999"/>
  </r>
  <r>
    <x v="557"/>
    <x v="145"/>
    <x v="0"/>
    <s v="Sneakers"/>
    <x v="5"/>
    <x v="1"/>
    <x v="2"/>
    <n v="36.33"/>
    <n v="3"/>
    <n v="108.99"/>
    <x v="2"/>
    <s v="Low"/>
    <s v="Low"/>
    <n v="-1021.1299999999999"/>
    <n v="0.1"/>
    <n v="98.090999999999994"/>
  </r>
  <r>
    <x v="558"/>
    <x v="235"/>
    <x v="0"/>
    <s v="Formal"/>
    <x v="1"/>
    <x v="3"/>
    <x v="1"/>
    <n v="196.13"/>
    <n v="2"/>
    <n v="392.26"/>
    <x v="10"/>
    <s v="Low"/>
    <s v="Low"/>
    <n v="283.27"/>
    <n v="0.1"/>
    <n v="353.03399999999999"/>
  </r>
  <r>
    <x v="559"/>
    <x v="229"/>
    <x v="5"/>
    <s v="Formal"/>
    <x v="3"/>
    <x v="6"/>
    <x v="0"/>
    <n v="166.47"/>
    <n v="17"/>
    <n v="2829.99"/>
    <x v="8"/>
    <s v="High"/>
    <s v="Good"/>
    <n v="2437.7299999999996"/>
    <n v="0.1"/>
    <n v="2546.991"/>
  </r>
  <r>
    <x v="560"/>
    <x v="0"/>
    <x v="2"/>
    <s v="Sneakers"/>
    <x v="2"/>
    <x v="3"/>
    <x v="0"/>
    <n v="184.9"/>
    <n v="18"/>
    <n v="3328.2"/>
    <x v="0"/>
    <s v="High"/>
    <s v="Excellent"/>
    <n v="498.21000000000004"/>
    <n v="0.1"/>
    <n v="2995.38"/>
  </r>
  <r>
    <x v="561"/>
    <x v="73"/>
    <x v="2"/>
    <s v="Casual"/>
    <x v="2"/>
    <x v="5"/>
    <x v="2"/>
    <n v="76.849999999999994"/>
    <n v="3"/>
    <n v="230.55"/>
    <x v="7"/>
    <s v="Low"/>
    <s v="Low"/>
    <n v="-3097.6499999999996"/>
    <n v="0.1"/>
    <n v="207.495"/>
  </r>
  <r>
    <x v="562"/>
    <x v="291"/>
    <x v="1"/>
    <s v="Boots"/>
    <x v="3"/>
    <x v="2"/>
    <x v="0"/>
    <n v="60"/>
    <n v="19"/>
    <n v="1140"/>
    <x v="5"/>
    <s v="Low"/>
    <s v="Average"/>
    <n v="909.45"/>
    <n v="0.1"/>
    <n v="1026"/>
  </r>
  <r>
    <x v="563"/>
    <x v="73"/>
    <x v="1"/>
    <s v="Casual"/>
    <x v="5"/>
    <x v="0"/>
    <x v="0"/>
    <n v="33.200000000000003"/>
    <n v="14"/>
    <n v="464.8"/>
    <x v="7"/>
    <s v="Low"/>
    <s v="Low"/>
    <n v="-675.2"/>
    <n v="0.1"/>
    <n v="418.32"/>
  </r>
  <r>
    <x v="564"/>
    <x v="292"/>
    <x v="5"/>
    <s v="Sneakers"/>
    <x v="1"/>
    <x v="1"/>
    <x v="2"/>
    <n v="107.13"/>
    <n v="4"/>
    <n v="428.52"/>
    <x v="2"/>
    <s v="Low"/>
    <s v="Low"/>
    <n v="-36.28000000000003"/>
    <n v="0.1"/>
    <n v="385.66800000000001"/>
  </r>
  <r>
    <x v="565"/>
    <x v="192"/>
    <x v="0"/>
    <s v="Running"/>
    <x v="3"/>
    <x v="0"/>
    <x v="1"/>
    <n v="159.78"/>
    <n v="6"/>
    <n v="958.68"/>
    <x v="8"/>
    <s v="Low"/>
    <s v="Average"/>
    <n v="530.16"/>
    <n v="0.1"/>
    <n v="862.81200000000001"/>
  </r>
  <r>
    <x v="566"/>
    <x v="114"/>
    <x v="5"/>
    <s v="Sports"/>
    <x v="1"/>
    <x v="5"/>
    <x v="1"/>
    <n v="116.29"/>
    <n v="6"/>
    <n v="697.74"/>
    <x v="11"/>
    <s v="Low"/>
    <s v="Average"/>
    <n v="-260.93999999999994"/>
    <n v="0.1"/>
    <n v="627.96600000000001"/>
  </r>
  <r>
    <x v="567"/>
    <x v="113"/>
    <x v="4"/>
    <s v="Casual"/>
    <x v="3"/>
    <x v="4"/>
    <x v="2"/>
    <n v="126.24"/>
    <n v="6"/>
    <n v="757.44"/>
    <x v="6"/>
    <s v="Low"/>
    <s v="Average"/>
    <n v="59.700000000000045"/>
    <n v="0.1"/>
    <n v="681.69600000000003"/>
  </r>
  <r>
    <x v="568"/>
    <x v="293"/>
    <x v="4"/>
    <s v="Formal"/>
    <x v="0"/>
    <x v="5"/>
    <x v="0"/>
    <n v="228.91"/>
    <n v="1"/>
    <n v="228.91"/>
    <x v="1"/>
    <s v="Low"/>
    <s v="Low"/>
    <n v="-528.53000000000009"/>
    <n v="0.1"/>
    <n v="206.01900000000001"/>
  </r>
  <r>
    <x v="569"/>
    <x v="17"/>
    <x v="1"/>
    <s v="Running"/>
    <x v="4"/>
    <x v="6"/>
    <x v="1"/>
    <n v="106.62"/>
    <n v="19"/>
    <n v="2025.78"/>
    <x v="6"/>
    <s v="High"/>
    <s v="Good"/>
    <n v="1796.87"/>
    <n v="0.1"/>
    <n v="1823.202"/>
  </r>
  <r>
    <x v="570"/>
    <x v="280"/>
    <x v="5"/>
    <s v="Sneakers"/>
    <x v="2"/>
    <x v="3"/>
    <x v="0"/>
    <n v="143.08000000000001"/>
    <n v="2"/>
    <n v="286.16000000000003"/>
    <x v="5"/>
    <s v="Low"/>
    <s v="Low"/>
    <n v="-1739.62"/>
    <n v="0.1"/>
    <n v="257.54400000000004"/>
  </r>
  <r>
    <x v="571"/>
    <x v="156"/>
    <x v="2"/>
    <s v="Boots"/>
    <x v="3"/>
    <x v="1"/>
    <x v="0"/>
    <n v="202.4"/>
    <n v="4"/>
    <n v="809.6"/>
    <x v="6"/>
    <s v="Low"/>
    <s v="Average"/>
    <n v="523.44000000000005"/>
    <n v="0.1"/>
    <n v="728.64"/>
  </r>
  <r>
    <x v="572"/>
    <x v="290"/>
    <x v="0"/>
    <s v="Running"/>
    <x v="2"/>
    <x v="1"/>
    <x v="2"/>
    <n v="117.24"/>
    <n v="1"/>
    <n v="117.24"/>
    <x v="9"/>
    <s v="Low"/>
    <s v="Low"/>
    <n v="-692.36"/>
    <n v="0.1"/>
    <n v="105.51599999999999"/>
  </r>
  <r>
    <x v="573"/>
    <x v="213"/>
    <x v="3"/>
    <s v="Casual"/>
    <x v="5"/>
    <x v="5"/>
    <x v="1"/>
    <n v="166.86"/>
    <n v="13"/>
    <n v="2169.1799999999998"/>
    <x v="5"/>
    <s v="High"/>
    <s v="Good"/>
    <n v="2051.94"/>
    <n v="0.1"/>
    <n v="1952.2619999999999"/>
  </r>
  <r>
    <x v="574"/>
    <x v="208"/>
    <x v="3"/>
    <s v="Sports"/>
    <x v="2"/>
    <x v="6"/>
    <x v="1"/>
    <n v="219.72"/>
    <n v="14"/>
    <n v="3076.08"/>
    <x v="8"/>
    <s v="High"/>
    <s v="Excellent"/>
    <n v="906.90000000000009"/>
    <n v="0.1"/>
    <n v="2768.4720000000002"/>
  </r>
  <r>
    <x v="575"/>
    <x v="90"/>
    <x v="0"/>
    <s v="Sneakers"/>
    <x v="0"/>
    <x v="1"/>
    <x v="1"/>
    <n v="238.89"/>
    <n v="9"/>
    <n v="2150.0100000000002"/>
    <x v="7"/>
    <s v="High"/>
    <s v="Good"/>
    <n v="-926.06999999999971"/>
    <n v="0.1"/>
    <n v="1935.0090000000002"/>
  </r>
  <r>
    <x v="576"/>
    <x v="264"/>
    <x v="3"/>
    <s v="Casual"/>
    <x v="1"/>
    <x v="1"/>
    <x v="2"/>
    <n v="62.36"/>
    <n v="2"/>
    <n v="124.72"/>
    <x v="8"/>
    <s v="Low"/>
    <s v="Low"/>
    <n v="-2025.2900000000002"/>
    <n v="0.1"/>
    <n v="112.248"/>
  </r>
  <r>
    <x v="577"/>
    <x v="51"/>
    <x v="4"/>
    <s v="Sports"/>
    <x v="0"/>
    <x v="1"/>
    <x v="1"/>
    <n v="233.85"/>
    <n v="15"/>
    <n v="3507.75"/>
    <x v="4"/>
    <s v="High"/>
    <s v="Excellent"/>
    <n v="3383.03"/>
    <n v="0.1"/>
    <n v="3156.9749999999999"/>
  </r>
  <r>
    <x v="578"/>
    <x v="85"/>
    <x v="4"/>
    <s v="Casual"/>
    <x v="0"/>
    <x v="5"/>
    <x v="2"/>
    <n v="138.27000000000001"/>
    <n v="1"/>
    <n v="138.27000000000001"/>
    <x v="2"/>
    <s v="Low"/>
    <s v="Low"/>
    <n v="-3369.48"/>
    <n v="0.1"/>
    <n v="124.44300000000001"/>
  </r>
  <r>
    <x v="579"/>
    <x v="294"/>
    <x v="5"/>
    <s v="Sports"/>
    <x v="1"/>
    <x v="6"/>
    <x v="0"/>
    <n v="86.81"/>
    <n v="8"/>
    <n v="694.48"/>
    <x v="0"/>
    <s v="Low"/>
    <s v="Average"/>
    <n v="556.21"/>
    <n v="0.1"/>
    <n v="625.03200000000004"/>
  </r>
  <r>
    <x v="580"/>
    <x v="4"/>
    <x v="3"/>
    <s v="Running"/>
    <x v="4"/>
    <x v="1"/>
    <x v="0"/>
    <n v="131.01"/>
    <n v="8"/>
    <n v="1048.08"/>
    <x v="3"/>
    <s v="Low"/>
    <s v="Average"/>
    <n v="353.59999999999991"/>
    <n v="0.1"/>
    <n v="943.27199999999993"/>
  </r>
  <r>
    <x v="581"/>
    <x v="44"/>
    <x v="1"/>
    <s v="Boots"/>
    <x v="5"/>
    <x v="3"/>
    <x v="0"/>
    <n v="245.61"/>
    <n v="12"/>
    <n v="2947.32"/>
    <x v="3"/>
    <s v="High"/>
    <s v="Good"/>
    <n v="1899.2400000000002"/>
    <n v="0.1"/>
    <n v="2652.5880000000002"/>
  </r>
  <r>
    <x v="582"/>
    <x v="139"/>
    <x v="1"/>
    <s v="Boots"/>
    <x v="0"/>
    <x v="1"/>
    <x v="0"/>
    <n v="138.38"/>
    <n v="13"/>
    <n v="1798.94"/>
    <x v="8"/>
    <s v="Low"/>
    <s v="Good"/>
    <n v="-1148.3800000000001"/>
    <n v="0.1"/>
    <n v="1619.046"/>
  </r>
  <r>
    <x v="583"/>
    <x v="189"/>
    <x v="5"/>
    <s v="Formal"/>
    <x v="5"/>
    <x v="0"/>
    <x v="1"/>
    <n v="102.33"/>
    <n v="8"/>
    <n v="818.64"/>
    <x v="9"/>
    <s v="Low"/>
    <s v="Average"/>
    <n v="-980.30000000000007"/>
    <n v="0.1"/>
    <n v="736.77599999999995"/>
  </r>
  <r>
    <x v="584"/>
    <x v="270"/>
    <x v="0"/>
    <s v="Casual"/>
    <x v="1"/>
    <x v="6"/>
    <x v="1"/>
    <n v="169.35"/>
    <n v="3"/>
    <n v="508.05"/>
    <x v="6"/>
    <s v="Low"/>
    <s v="Average"/>
    <n v="-310.58999999999997"/>
    <n v="0.1"/>
    <n v="457.245"/>
  </r>
  <r>
    <x v="585"/>
    <x v="295"/>
    <x v="1"/>
    <s v="Running"/>
    <x v="1"/>
    <x v="1"/>
    <x v="1"/>
    <n v="82.83"/>
    <n v="15"/>
    <n v="1242.45"/>
    <x v="5"/>
    <s v="Low"/>
    <s v="Average"/>
    <n v="734.40000000000009"/>
    <n v="0.1"/>
    <n v="1118.2050000000002"/>
  </r>
  <r>
    <x v="586"/>
    <x v="296"/>
    <x v="0"/>
    <s v="Sneakers"/>
    <x v="1"/>
    <x v="1"/>
    <x v="2"/>
    <n v="46.69"/>
    <n v="13"/>
    <n v="606.97"/>
    <x v="1"/>
    <s v="Low"/>
    <s v="Average"/>
    <n v="-635.48"/>
    <n v="0.1"/>
    <n v="546.27300000000002"/>
  </r>
  <r>
    <x v="587"/>
    <x v="297"/>
    <x v="3"/>
    <s v="Sports"/>
    <x v="0"/>
    <x v="4"/>
    <x v="2"/>
    <n v="58.35"/>
    <n v="5"/>
    <n v="291.75"/>
    <x v="8"/>
    <s v="Low"/>
    <s v="Low"/>
    <n v="-315.22000000000003"/>
    <n v="0.1"/>
    <n v="262.57499999999999"/>
  </r>
  <r>
    <x v="588"/>
    <x v="285"/>
    <x v="4"/>
    <s v="Formal"/>
    <x v="0"/>
    <x v="0"/>
    <x v="0"/>
    <n v="58.17"/>
    <n v="11"/>
    <n v="639.87"/>
    <x v="5"/>
    <s v="Low"/>
    <s v="Average"/>
    <n v="348.12"/>
    <n v="0.1"/>
    <n v="575.88300000000004"/>
  </r>
  <r>
    <x v="589"/>
    <x v="298"/>
    <x v="2"/>
    <s v="Running"/>
    <x v="2"/>
    <x v="1"/>
    <x v="0"/>
    <n v="63.42"/>
    <n v="5"/>
    <n v="317.10000000000002"/>
    <x v="10"/>
    <s v="Low"/>
    <s v="Low"/>
    <n v="-322.77"/>
    <n v="0.1"/>
    <n v="285.39000000000004"/>
  </r>
  <r>
    <x v="590"/>
    <x v="230"/>
    <x v="4"/>
    <s v="Formal"/>
    <x v="5"/>
    <x v="5"/>
    <x v="2"/>
    <n v="60.54"/>
    <n v="15"/>
    <n v="908.1"/>
    <x v="2"/>
    <s v="Low"/>
    <s v="Average"/>
    <n v="591"/>
    <n v="0.1"/>
    <n v="817.29000000000008"/>
  </r>
  <r>
    <x v="591"/>
    <x v="299"/>
    <x v="4"/>
    <s v="Formal"/>
    <x v="0"/>
    <x v="4"/>
    <x v="0"/>
    <n v="170.99"/>
    <n v="15"/>
    <n v="2564.85"/>
    <x v="10"/>
    <s v="High"/>
    <s v="Good"/>
    <n v="1656.75"/>
    <n v="0.1"/>
    <n v="2308.3649999999998"/>
  </r>
  <r>
    <x v="592"/>
    <x v="161"/>
    <x v="1"/>
    <s v="Sports"/>
    <x v="3"/>
    <x v="2"/>
    <x v="1"/>
    <n v="70.010000000000005"/>
    <n v="6"/>
    <n v="420.06"/>
    <x v="4"/>
    <s v="Low"/>
    <s v="Low"/>
    <n v="-2144.79"/>
    <n v="0.1"/>
    <n v="378.05400000000003"/>
  </r>
  <r>
    <x v="593"/>
    <x v="300"/>
    <x v="4"/>
    <s v="Casual"/>
    <x v="5"/>
    <x v="2"/>
    <x v="0"/>
    <n v="106.05"/>
    <n v="7"/>
    <n v="742.35"/>
    <x v="11"/>
    <s v="Low"/>
    <s v="Average"/>
    <n v="322.29000000000002"/>
    <n v="0.1"/>
    <n v="668.11500000000001"/>
  </r>
  <r>
    <x v="594"/>
    <x v="273"/>
    <x v="2"/>
    <s v="Running"/>
    <x v="3"/>
    <x v="3"/>
    <x v="2"/>
    <n v="227.29"/>
    <n v="13"/>
    <n v="2954.77"/>
    <x v="5"/>
    <s v="High"/>
    <s v="Good"/>
    <n v="2212.42"/>
    <n v="0.1"/>
    <n v="2659.2930000000001"/>
  </r>
  <r>
    <x v="595"/>
    <x v="75"/>
    <x v="5"/>
    <s v="Formal"/>
    <x v="1"/>
    <x v="2"/>
    <x v="1"/>
    <n v="134.27000000000001"/>
    <n v="1"/>
    <n v="134.27000000000001"/>
    <x v="1"/>
    <s v="Low"/>
    <s v="Low"/>
    <n v="-2820.5"/>
    <n v="0.1"/>
    <n v="120.84300000000002"/>
  </r>
  <r>
    <x v="596"/>
    <x v="37"/>
    <x v="5"/>
    <s v="Running"/>
    <x v="2"/>
    <x v="1"/>
    <x v="0"/>
    <n v="176.86"/>
    <n v="4"/>
    <n v="707.44"/>
    <x v="6"/>
    <s v="Low"/>
    <s v="Average"/>
    <n v="573.17000000000007"/>
    <n v="0.1"/>
    <n v="636.69600000000003"/>
  </r>
  <r>
    <x v="597"/>
    <x v="202"/>
    <x v="3"/>
    <s v="Casual"/>
    <x v="4"/>
    <x v="3"/>
    <x v="1"/>
    <n v="67.91"/>
    <n v="8"/>
    <n v="543.28"/>
    <x v="4"/>
    <s v="Low"/>
    <s v="Average"/>
    <n v="-164.16000000000008"/>
    <n v="0.1"/>
    <n v="488.952"/>
  </r>
  <r>
    <x v="598"/>
    <x v="301"/>
    <x v="2"/>
    <s v="Sneakers"/>
    <x v="0"/>
    <x v="4"/>
    <x v="0"/>
    <n v="72.3"/>
    <n v="3"/>
    <n v="216.9"/>
    <x v="0"/>
    <s v="Low"/>
    <s v="Low"/>
    <n v="-326.38"/>
    <n v="0.1"/>
    <n v="195.21"/>
  </r>
  <r>
    <x v="599"/>
    <x v="302"/>
    <x v="3"/>
    <s v="Boots"/>
    <x v="4"/>
    <x v="4"/>
    <x v="0"/>
    <n v="38.99"/>
    <n v="3"/>
    <n v="116.97"/>
    <x v="11"/>
    <s v="Low"/>
    <s v="Low"/>
    <n v="-99.93"/>
    <n v="0.1"/>
    <n v="105.273"/>
  </r>
  <r>
    <x v="600"/>
    <x v="143"/>
    <x v="0"/>
    <s v="Running"/>
    <x v="4"/>
    <x v="1"/>
    <x v="0"/>
    <n v="67.17"/>
    <n v="11"/>
    <n v="738.87"/>
    <x v="4"/>
    <s v="Low"/>
    <s v="Average"/>
    <n v="621.9"/>
    <n v="0.1"/>
    <n v="664.98300000000006"/>
  </r>
  <r>
    <x v="601"/>
    <x v="125"/>
    <x v="1"/>
    <s v="Formal"/>
    <x v="4"/>
    <x v="1"/>
    <x v="2"/>
    <n v="91.29"/>
    <n v="14"/>
    <n v="1278.06"/>
    <x v="3"/>
    <s v="Low"/>
    <s v="Average"/>
    <n v="539.18999999999994"/>
    <n v="0.1"/>
    <n v="1150.2539999999999"/>
  </r>
  <r>
    <x v="602"/>
    <x v="278"/>
    <x v="3"/>
    <s v="Sports"/>
    <x v="2"/>
    <x v="0"/>
    <x v="2"/>
    <n v="68.94"/>
    <n v="14"/>
    <n v="965.16"/>
    <x v="8"/>
    <s v="Low"/>
    <s v="Average"/>
    <n v="-312.89999999999998"/>
    <n v="0.1"/>
    <n v="868.64400000000001"/>
  </r>
  <r>
    <x v="603"/>
    <x v="270"/>
    <x v="3"/>
    <s v="Running"/>
    <x v="1"/>
    <x v="5"/>
    <x v="1"/>
    <n v="49.51"/>
    <n v="15"/>
    <n v="742.65"/>
    <x v="6"/>
    <s v="Low"/>
    <s v="Average"/>
    <n v="-222.51"/>
    <n v="0.1"/>
    <n v="668.38499999999999"/>
  </r>
  <r>
    <x v="604"/>
    <x v="13"/>
    <x v="5"/>
    <s v="Formal"/>
    <x v="1"/>
    <x v="6"/>
    <x v="0"/>
    <n v="56.54"/>
    <n v="10"/>
    <n v="565.4"/>
    <x v="6"/>
    <s v="Low"/>
    <s v="Average"/>
    <n v="-177.25"/>
    <n v="0.1"/>
    <n v="508.86"/>
  </r>
  <r>
    <x v="605"/>
    <x v="288"/>
    <x v="5"/>
    <s v="Casual"/>
    <x v="4"/>
    <x v="0"/>
    <x v="1"/>
    <n v="131.37"/>
    <n v="9"/>
    <n v="1182.33"/>
    <x v="4"/>
    <s v="Low"/>
    <s v="Average"/>
    <n v="616.92999999999995"/>
    <n v="0.1"/>
    <n v="1064.097"/>
  </r>
  <r>
    <x v="606"/>
    <x v="255"/>
    <x v="1"/>
    <s v="Sneakers"/>
    <x v="5"/>
    <x v="6"/>
    <x v="1"/>
    <n v="75.39"/>
    <n v="8"/>
    <n v="603.12"/>
    <x v="9"/>
    <s v="Low"/>
    <s v="Average"/>
    <n v="-579.20999999999992"/>
    <n v="0.1"/>
    <n v="542.80799999999999"/>
  </r>
  <r>
    <x v="607"/>
    <x v="61"/>
    <x v="2"/>
    <s v="Formal"/>
    <x v="0"/>
    <x v="5"/>
    <x v="1"/>
    <n v="110.14"/>
    <n v="16"/>
    <n v="1762.24"/>
    <x v="5"/>
    <s v="Low"/>
    <s v="Good"/>
    <n v="1159.1199999999999"/>
    <n v="0.1"/>
    <n v="1586.0160000000001"/>
  </r>
  <r>
    <x v="608"/>
    <x v="77"/>
    <x v="4"/>
    <s v="Casual"/>
    <x v="5"/>
    <x v="3"/>
    <x v="1"/>
    <n v="140.75"/>
    <n v="13"/>
    <n v="1829.75"/>
    <x v="7"/>
    <s v="Low"/>
    <s v="Good"/>
    <n v="67.509999999999991"/>
    <n v="0.1"/>
    <n v="1646.7750000000001"/>
  </r>
  <r>
    <x v="609"/>
    <x v="32"/>
    <x v="4"/>
    <s v="Running"/>
    <x v="4"/>
    <x v="5"/>
    <x v="2"/>
    <n v="181.89"/>
    <n v="1"/>
    <n v="181.89"/>
    <x v="10"/>
    <s v="Low"/>
    <s v="Low"/>
    <n v="-1647.8600000000001"/>
    <n v="0.1"/>
    <n v="163.70099999999999"/>
  </r>
  <r>
    <x v="610"/>
    <x v="303"/>
    <x v="3"/>
    <s v="Running"/>
    <x v="2"/>
    <x v="2"/>
    <x v="0"/>
    <n v="38.65"/>
    <n v="8"/>
    <n v="309.2"/>
    <x v="3"/>
    <s v="Low"/>
    <s v="Low"/>
    <n v="127.31"/>
    <n v="0.1"/>
    <n v="278.27999999999997"/>
  </r>
  <r>
    <x v="611"/>
    <x v="12"/>
    <x v="1"/>
    <s v="Running"/>
    <x v="2"/>
    <x v="5"/>
    <x v="2"/>
    <n v="205.87"/>
    <n v="18"/>
    <n v="3705.66"/>
    <x v="6"/>
    <s v="High"/>
    <s v="Excellent"/>
    <n v="3396.46"/>
    <n v="0.1"/>
    <n v="3335.0940000000001"/>
  </r>
  <r>
    <x v="612"/>
    <x v="304"/>
    <x v="3"/>
    <s v="Casual"/>
    <x v="1"/>
    <x v="3"/>
    <x v="1"/>
    <n v="168.14"/>
    <n v="6"/>
    <n v="1008.84"/>
    <x v="5"/>
    <s v="Low"/>
    <s v="Average"/>
    <n v="-2696.8199999999997"/>
    <n v="0.1"/>
    <n v="907.95600000000002"/>
  </r>
  <r>
    <x v="613"/>
    <x v="124"/>
    <x v="2"/>
    <s v="Running"/>
    <x v="3"/>
    <x v="2"/>
    <x v="2"/>
    <n v="47.99"/>
    <n v="12"/>
    <n v="575.88"/>
    <x v="8"/>
    <s v="Low"/>
    <s v="Average"/>
    <n v="-432.96000000000004"/>
    <n v="0.1"/>
    <n v="518.29200000000003"/>
  </r>
  <r>
    <x v="614"/>
    <x v="305"/>
    <x v="3"/>
    <s v="Sneakers"/>
    <x v="2"/>
    <x v="4"/>
    <x v="2"/>
    <n v="222.19"/>
    <n v="19"/>
    <n v="4221.6099999999997"/>
    <x v="3"/>
    <s v="High"/>
    <s v="Excellent"/>
    <n v="3645.7299999999996"/>
    <n v="0.1"/>
    <n v="3799.4489999999996"/>
  </r>
  <r>
    <x v="615"/>
    <x v="44"/>
    <x v="3"/>
    <s v="Formal"/>
    <x v="5"/>
    <x v="1"/>
    <x v="0"/>
    <n v="232.59"/>
    <n v="10"/>
    <n v="2325.9"/>
    <x v="3"/>
    <s v="High"/>
    <s v="Good"/>
    <n v="-1895.7099999999996"/>
    <n v="0.1"/>
    <n v="2093.31"/>
  </r>
  <r>
    <x v="616"/>
    <x v="167"/>
    <x v="3"/>
    <s v="Running"/>
    <x v="1"/>
    <x v="6"/>
    <x v="0"/>
    <n v="43.44"/>
    <n v="20"/>
    <n v="868.8"/>
    <x v="10"/>
    <s v="Low"/>
    <s v="Average"/>
    <n v="-1457.1000000000001"/>
    <n v="0.1"/>
    <n v="781.92"/>
  </r>
  <r>
    <x v="617"/>
    <x v="92"/>
    <x v="3"/>
    <s v="Casual"/>
    <x v="0"/>
    <x v="2"/>
    <x v="0"/>
    <n v="90.91"/>
    <n v="20"/>
    <n v="1818.2"/>
    <x v="7"/>
    <s v="Low"/>
    <s v="Good"/>
    <n v="949.40000000000009"/>
    <n v="0.1"/>
    <n v="1636.38"/>
  </r>
  <r>
    <x v="618"/>
    <x v="198"/>
    <x v="0"/>
    <s v="Casual"/>
    <x v="1"/>
    <x v="2"/>
    <x v="0"/>
    <n v="207.36"/>
    <n v="2"/>
    <n v="414.72"/>
    <x v="7"/>
    <s v="Low"/>
    <s v="Low"/>
    <n v="-1403.48"/>
    <n v="0.1"/>
    <n v="373.24800000000005"/>
  </r>
  <r>
    <x v="619"/>
    <x v="191"/>
    <x v="4"/>
    <s v="Running"/>
    <x v="0"/>
    <x v="2"/>
    <x v="1"/>
    <n v="194.62"/>
    <n v="17"/>
    <n v="3308.54"/>
    <x v="4"/>
    <s v="High"/>
    <s v="Excellent"/>
    <n v="2893.8199999999997"/>
    <n v="0.1"/>
    <n v="2977.6860000000001"/>
  </r>
  <r>
    <x v="620"/>
    <x v="159"/>
    <x v="0"/>
    <s v="Sports"/>
    <x v="0"/>
    <x v="3"/>
    <x v="0"/>
    <n v="70.59"/>
    <n v="19"/>
    <n v="1341.21"/>
    <x v="5"/>
    <s v="Low"/>
    <s v="Average"/>
    <n v="-1967.33"/>
    <n v="0.1"/>
    <n v="1207.0890000000002"/>
  </r>
  <r>
    <x v="621"/>
    <x v="129"/>
    <x v="1"/>
    <s v="Formal"/>
    <x v="3"/>
    <x v="3"/>
    <x v="0"/>
    <n v="76.06"/>
    <n v="14"/>
    <n v="1064.8399999999999"/>
    <x v="1"/>
    <s v="Low"/>
    <s v="Average"/>
    <n v="-276.37000000000012"/>
    <n v="0.1"/>
    <n v="958.35599999999999"/>
  </r>
  <r>
    <x v="622"/>
    <x v="109"/>
    <x v="1"/>
    <s v="Sneakers"/>
    <x v="0"/>
    <x v="0"/>
    <x v="1"/>
    <n v="111.5"/>
    <n v="18"/>
    <n v="2007"/>
    <x v="8"/>
    <s v="High"/>
    <s v="Good"/>
    <n v="942.16000000000008"/>
    <n v="0.1"/>
    <n v="1806.3"/>
  </r>
  <r>
    <x v="623"/>
    <x v="121"/>
    <x v="5"/>
    <s v="Sports"/>
    <x v="3"/>
    <x v="2"/>
    <x v="2"/>
    <n v="136.6"/>
    <n v="6"/>
    <n v="819.6"/>
    <x v="3"/>
    <s v="Low"/>
    <s v="Average"/>
    <n v="-1187.4000000000001"/>
    <n v="0.1"/>
    <n v="737.64"/>
  </r>
  <r>
    <x v="624"/>
    <x v="74"/>
    <x v="1"/>
    <s v="Running"/>
    <x v="3"/>
    <x v="5"/>
    <x v="2"/>
    <n v="166.02"/>
    <n v="6"/>
    <n v="996.12"/>
    <x v="1"/>
    <s v="Low"/>
    <s v="Average"/>
    <n v="176.51999999999998"/>
    <n v="0.1"/>
    <n v="896.50800000000004"/>
  </r>
  <r>
    <x v="625"/>
    <x v="305"/>
    <x v="3"/>
    <s v="Sneakers"/>
    <x v="0"/>
    <x v="4"/>
    <x v="1"/>
    <n v="111.16"/>
    <n v="2"/>
    <n v="222.32"/>
    <x v="3"/>
    <s v="Low"/>
    <s v="Low"/>
    <n v="-773.8"/>
    <n v="0.1"/>
    <n v="200.08799999999999"/>
  </r>
  <r>
    <x v="626"/>
    <x v="168"/>
    <x v="0"/>
    <s v="Formal"/>
    <x v="2"/>
    <x v="3"/>
    <x v="1"/>
    <n v="131.76"/>
    <n v="19"/>
    <n v="2503.44"/>
    <x v="10"/>
    <s v="High"/>
    <s v="Good"/>
    <n v="2281.12"/>
    <n v="0.1"/>
    <n v="2253.096"/>
  </r>
  <r>
    <x v="627"/>
    <x v="195"/>
    <x v="4"/>
    <s v="Sports"/>
    <x v="2"/>
    <x v="2"/>
    <x v="0"/>
    <n v="194.44"/>
    <n v="8"/>
    <n v="1555.52"/>
    <x v="4"/>
    <s v="Low"/>
    <s v="Good"/>
    <n v="-947.92000000000007"/>
    <n v="0.1"/>
    <n v="1399.9680000000001"/>
  </r>
  <r>
    <x v="628"/>
    <x v="109"/>
    <x v="5"/>
    <s v="Running"/>
    <x v="0"/>
    <x v="0"/>
    <x v="0"/>
    <n v="38.07"/>
    <n v="11"/>
    <n v="418.77"/>
    <x v="8"/>
    <s v="Low"/>
    <s v="Low"/>
    <n v="-1136.75"/>
    <n v="0.1"/>
    <n v="376.89299999999997"/>
  </r>
  <r>
    <x v="629"/>
    <x v="117"/>
    <x v="4"/>
    <s v="Sports"/>
    <x v="5"/>
    <x v="2"/>
    <x v="0"/>
    <n v="85.54"/>
    <n v="3"/>
    <n v="256.62"/>
    <x v="8"/>
    <s v="Low"/>
    <s v="Low"/>
    <n v="-162.14999999999998"/>
    <n v="0.1"/>
    <n v="230.958"/>
  </r>
  <r>
    <x v="630"/>
    <x v="222"/>
    <x v="5"/>
    <s v="Boots"/>
    <x v="4"/>
    <x v="0"/>
    <x v="2"/>
    <n v="186.94"/>
    <n v="13"/>
    <n v="2430.2199999999998"/>
    <x v="11"/>
    <s v="High"/>
    <s v="Good"/>
    <n v="2173.6"/>
    <n v="0.1"/>
    <n v="2187.1979999999999"/>
  </r>
  <r>
    <x v="631"/>
    <x v="249"/>
    <x v="4"/>
    <s v="Sneakers"/>
    <x v="4"/>
    <x v="1"/>
    <x v="2"/>
    <n v="226.95"/>
    <n v="13"/>
    <n v="2950.35"/>
    <x v="9"/>
    <s v="High"/>
    <s v="Good"/>
    <n v="520.13000000000011"/>
    <n v="0.1"/>
    <n v="2655.3150000000001"/>
  </r>
  <r>
    <x v="632"/>
    <x v="9"/>
    <x v="3"/>
    <s v="Formal"/>
    <x v="5"/>
    <x v="4"/>
    <x v="0"/>
    <n v="142.57"/>
    <n v="8"/>
    <n v="1140.56"/>
    <x v="3"/>
    <s v="Low"/>
    <s v="Average"/>
    <n v="-1809.79"/>
    <n v="0.1"/>
    <n v="1026.5039999999999"/>
  </r>
  <r>
    <x v="633"/>
    <x v="306"/>
    <x v="4"/>
    <s v="Sports"/>
    <x v="5"/>
    <x v="1"/>
    <x v="2"/>
    <n v="147.06"/>
    <n v="1"/>
    <n v="147.06"/>
    <x v="6"/>
    <s v="Low"/>
    <s v="Low"/>
    <n v="-993.5"/>
    <n v="0.1"/>
    <n v="132.35400000000001"/>
  </r>
  <r>
    <x v="634"/>
    <x v="154"/>
    <x v="3"/>
    <s v="Boots"/>
    <x v="5"/>
    <x v="5"/>
    <x v="0"/>
    <n v="53.58"/>
    <n v="13"/>
    <n v="696.54"/>
    <x v="1"/>
    <s v="Low"/>
    <s v="Average"/>
    <n v="549.48"/>
    <n v="0.1"/>
    <n v="626.88599999999997"/>
  </r>
  <r>
    <x v="635"/>
    <x v="150"/>
    <x v="2"/>
    <s v="Formal"/>
    <x v="3"/>
    <x v="1"/>
    <x v="2"/>
    <n v="128.43"/>
    <n v="20"/>
    <n v="2568.6"/>
    <x v="7"/>
    <s v="High"/>
    <s v="Good"/>
    <n v="1872.06"/>
    <n v="0.1"/>
    <n v="2311.7399999999998"/>
  </r>
  <r>
    <x v="636"/>
    <x v="307"/>
    <x v="2"/>
    <s v="Formal"/>
    <x v="2"/>
    <x v="1"/>
    <x v="0"/>
    <n v="147.18"/>
    <n v="6"/>
    <n v="883.08"/>
    <x v="8"/>
    <s v="Low"/>
    <s v="Average"/>
    <n v="-1685.52"/>
    <n v="0.1"/>
    <n v="794.77200000000005"/>
  </r>
  <r>
    <x v="637"/>
    <x v="92"/>
    <x v="3"/>
    <s v="Formal"/>
    <x v="3"/>
    <x v="5"/>
    <x v="1"/>
    <n v="83.34"/>
    <n v="7"/>
    <n v="583.38"/>
    <x v="7"/>
    <s v="Low"/>
    <s v="Average"/>
    <n v="-299.70000000000005"/>
    <n v="0.1"/>
    <n v="525.04200000000003"/>
  </r>
  <r>
    <x v="638"/>
    <x v="24"/>
    <x v="1"/>
    <s v="Sports"/>
    <x v="0"/>
    <x v="0"/>
    <x v="0"/>
    <n v="89.23"/>
    <n v="9"/>
    <n v="803.07"/>
    <x v="3"/>
    <s v="Low"/>
    <s v="Average"/>
    <n v="219.69000000000005"/>
    <n v="0.1"/>
    <n v="722.76300000000003"/>
  </r>
  <r>
    <x v="639"/>
    <x v="160"/>
    <x v="2"/>
    <s v="Sneakers"/>
    <x v="4"/>
    <x v="0"/>
    <x v="0"/>
    <n v="113"/>
    <n v="13"/>
    <n v="1469"/>
    <x v="11"/>
    <s v="Low"/>
    <s v="Average"/>
    <n v="665.93"/>
    <n v="0.1"/>
    <n v="1322.1000000000001"/>
  </r>
  <r>
    <x v="640"/>
    <x v="280"/>
    <x v="5"/>
    <s v="Running"/>
    <x v="0"/>
    <x v="4"/>
    <x v="1"/>
    <n v="34.42"/>
    <n v="1"/>
    <n v="34.42"/>
    <x v="5"/>
    <s v="Low"/>
    <s v="Low"/>
    <n v="-1434.58"/>
    <n v="0.1"/>
    <n v="30.978000000000002"/>
  </r>
  <r>
    <x v="641"/>
    <x v="262"/>
    <x v="5"/>
    <s v="Casual"/>
    <x v="5"/>
    <x v="1"/>
    <x v="0"/>
    <n v="100.86"/>
    <n v="20"/>
    <n v="2017.2"/>
    <x v="0"/>
    <s v="High"/>
    <s v="Good"/>
    <n v="1982.78"/>
    <n v="0.1"/>
    <n v="1815.48"/>
  </r>
  <r>
    <x v="642"/>
    <x v="154"/>
    <x v="0"/>
    <s v="Formal"/>
    <x v="5"/>
    <x v="3"/>
    <x v="2"/>
    <n v="76.52"/>
    <n v="10"/>
    <n v="765.2"/>
    <x v="1"/>
    <s v="Low"/>
    <s v="Average"/>
    <n v="-1252"/>
    <n v="0.1"/>
    <n v="688.68000000000006"/>
  </r>
  <r>
    <x v="643"/>
    <x v="145"/>
    <x v="1"/>
    <s v="Sports"/>
    <x v="5"/>
    <x v="2"/>
    <x v="1"/>
    <n v="102.05"/>
    <n v="16"/>
    <n v="1632.8"/>
    <x v="2"/>
    <s v="Low"/>
    <s v="Good"/>
    <n v="867.59999999999991"/>
    <n v="0.1"/>
    <n v="1469.52"/>
  </r>
  <r>
    <x v="644"/>
    <x v="205"/>
    <x v="4"/>
    <s v="Formal"/>
    <x v="0"/>
    <x v="0"/>
    <x v="2"/>
    <n v="56.35"/>
    <n v="6"/>
    <n v="338.1"/>
    <x v="5"/>
    <s v="Low"/>
    <s v="Low"/>
    <n v="-1294.6999999999998"/>
    <n v="0.1"/>
    <n v="304.29000000000002"/>
  </r>
  <r>
    <x v="645"/>
    <x v="57"/>
    <x v="5"/>
    <s v="Formal"/>
    <x v="0"/>
    <x v="0"/>
    <x v="2"/>
    <n v="225.92"/>
    <n v="9"/>
    <n v="2033.28"/>
    <x v="11"/>
    <s v="High"/>
    <s v="Good"/>
    <n v="1695.1799999999998"/>
    <n v="0.1"/>
    <n v="1829.952"/>
  </r>
  <r>
    <x v="646"/>
    <x v="127"/>
    <x v="3"/>
    <s v="Boots"/>
    <x v="3"/>
    <x v="1"/>
    <x v="0"/>
    <n v="160.59"/>
    <n v="2"/>
    <n v="321.18"/>
    <x v="3"/>
    <s v="Low"/>
    <s v="Low"/>
    <n v="-1712.1"/>
    <n v="0.1"/>
    <n v="289.06200000000001"/>
  </r>
  <r>
    <x v="647"/>
    <x v="34"/>
    <x v="2"/>
    <s v="Formal"/>
    <x v="1"/>
    <x v="0"/>
    <x v="1"/>
    <n v="179.4"/>
    <n v="12"/>
    <n v="2152.8000000000002"/>
    <x v="8"/>
    <s v="High"/>
    <s v="Good"/>
    <n v="1831.6200000000001"/>
    <n v="0.1"/>
    <n v="1937.5200000000002"/>
  </r>
  <r>
    <x v="648"/>
    <x v="202"/>
    <x v="2"/>
    <s v="Formal"/>
    <x v="1"/>
    <x v="2"/>
    <x v="2"/>
    <n v="203.62"/>
    <n v="13"/>
    <n v="2647.06"/>
    <x v="4"/>
    <s v="High"/>
    <s v="Good"/>
    <n v="494.25999999999976"/>
    <n v="0.1"/>
    <n v="2382.3539999999998"/>
  </r>
  <r>
    <x v="649"/>
    <x v="125"/>
    <x v="5"/>
    <s v="Sports"/>
    <x v="5"/>
    <x v="6"/>
    <x v="1"/>
    <n v="139.66"/>
    <n v="8"/>
    <n v="1117.28"/>
    <x v="3"/>
    <s v="Low"/>
    <s v="Average"/>
    <n v="-1529.78"/>
    <n v="0.1"/>
    <n v="1005.552"/>
  </r>
  <r>
    <x v="650"/>
    <x v="308"/>
    <x v="2"/>
    <s v="Sneakers"/>
    <x v="1"/>
    <x v="2"/>
    <x v="1"/>
    <n v="49.12"/>
    <n v="17"/>
    <n v="835.04"/>
    <x v="11"/>
    <s v="Low"/>
    <s v="Average"/>
    <n v="-282.24"/>
    <n v="0.1"/>
    <n v="751.53599999999994"/>
  </r>
  <r>
    <x v="651"/>
    <x v="60"/>
    <x v="5"/>
    <s v="Casual"/>
    <x v="2"/>
    <x v="0"/>
    <x v="0"/>
    <n v="148.16"/>
    <n v="4"/>
    <n v="592.64"/>
    <x v="1"/>
    <s v="Low"/>
    <s v="Average"/>
    <n v="-242.39999999999998"/>
    <n v="0.1"/>
    <n v="533.37599999999998"/>
  </r>
  <r>
    <x v="652"/>
    <x v="27"/>
    <x v="5"/>
    <s v="Running"/>
    <x v="3"/>
    <x v="6"/>
    <x v="0"/>
    <n v="159.11000000000001"/>
    <n v="2"/>
    <n v="318.22000000000003"/>
    <x v="1"/>
    <s v="Low"/>
    <s v="Low"/>
    <n v="-274.41999999999996"/>
    <n v="0.1"/>
    <n v="286.39800000000002"/>
  </r>
  <r>
    <x v="653"/>
    <x v="309"/>
    <x v="2"/>
    <s v="Sports"/>
    <x v="0"/>
    <x v="2"/>
    <x v="0"/>
    <n v="194"/>
    <n v="5"/>
    <n v="970"/>
    <x v="0"/>
    <s v="Low"/>
    <s v="Average"/>
    <n v="651.78"/>
    <n v="0.1"/>
    <n v="873"/>
  </r>
  <r>
    <x v="654"/>
    <x v="288"/>
    <x v="2"/>
    <s v="Formal"/>
    <x v="1"/>
    <x v="3"/>
    <x v="2"/>
    <n v="124.97"/>
    <n v="13"/>
    <n v="1624.61"/>
    <x v="4"/>
    <s v="Low"/>
    <s v="Good"/>
    <n v="654.6099999999999"/>
    <n v="0.1"/>
    <n v="1462.1489999999999"/>
  </r>
  <r>
    <x v="655"/>
    <x v="282"/>
    <x v="0"/>
    <s v="Boots"/>
    <x v="1"/>
    <x v="5"/>
    <x v="1"/>
    <n v="58.07"/>
    <n v="15"/>
    <n v="871.05"/>
    <x v="9"/>
    <s v="Low"/>
    <s v="Average"/>
    <n v="-753.56"/>
    <n v="0.1"/>
    <n v="783.94499999999994"/>
  </r>
  <r>
    <x v="656"/>
    <x v="233"/>
    <x v="5"/>
    <s v="Casual"/>
    <x v="2"/>
    <x v="5"/>
    <x v="1"/>
    <n v="92.43"/>
    <n v="4"/>
    <n v="369.72"/>
    <x v="2"/>
    <s v="Low"/>
    <s v="Low"/>
    <n v="-501.32999999999993"/>
    <n v="0.1"/>
    <n v="332.74800000000005"/>
  </r>
  <r>
    <x v="657"/>
    <x v="241"/>
    <x v="0"/>
    <s v="Sneakers"/>
    <x v="5"/>
    <x v="4"/>
    <x v="2"/>
    <n v="109.88"/>
    <n v="4"/>
    <n v="439.52"/>
    <x v="3"/>
    <s v="Low"/>
    <s v="Low"/>
    <n v="69.799999999999955"/>
    <n v="0.1"/>
    <n v="395.56799999999998"/>
  </r>
  <r>
    <x v="658"/>
    <x v="166"/>
    <x v="5"/>
    <s v="Sports"/>
    <x v="4"/>
    <x v="2"/>
    <x v="2"/>
    <n v="172.1"/>
    <n v="12"/>
    <n v="2065.1999999999998"/>
    <x v="3"/>
    <s v="High"/>
    <s v="Good"/>
    <n v="1625.6799999999998"/>
    <n v="0.1"/>
    <n v="1858.6799999999998"/>
  </r>
  <r>
    <x v="659"/>
    <x v="201"/>
    <x v="5"/>
    <s v="Running"/>
    <x v="2"/>
    <x v="3"/>
    <x v="2"/>
    <n v="155.57"/>
    <n v="20"/>
    <n v="3111.4"/>
    <x v="3"/>
    <s v="High"/>
    <s v="Excellent"/>
    <n v="1046.2000000000003"/>
    <n v="0.1"/>
    <n v="2800.26"/>
  </r>
  <r>
    <x v="660"/>
    <x v="16"/>
    <x v="2"/>
    <s v="Boots"/>
    <x v="3"/>
    <x v="6"/>
    <x v="0"/>
    <n v="108.34"/>
    <n v="20"/>
    <n v="2166.8000000000002"/>
    <x v="1"/>
    <s v="High"/>
    <s v="Good"/>
    <n v="-944.59999999999991"/>
    <n v="0.1"/>
    <n v="1950.1200000000001"/>
  </r>
  <r>
    <x v="661"/>
    <x v="159"/>
    <x v="1"/>
    <s v="Casual"/>
    <x v="5"/>
    <x v="2"/>
    <x v="2"/>
    <n v="247.03"/>
    <n v="11"/>
    <n v="2717.33"/>
    <x v="5"/>
    <s v="High"/>
    <s v="Good"/>
    <n v="550.52999999999975"/>
    <n v="0.1"/>
    <n v="2445.5970000000002"/>
  </r>
  <r>
    <x v="662"/>
    <x v="310"/>
    <x v="0"/>
    <s v="Sports"/>
    <x v="0"/>
    <x v="3"/>
    <x v="2"/>
    <n v="163.27000000000001"/>
    <n v="12"/>
    <n v="1959.24"/>
    <x v="6"/>
    <s v="Low"/>
    <s v="Good"/>
    <n v="-758.08999999999992"/>
    <n v="0.1"/>
    <n v="1763.316"/>
  </r>
  <r>
    <x v="663"/>
    <x v="116"/>
    <x v="3"/>
    <s v="Casual"/>
    <x v="0"/>
    <x v="2"/>
    <x v="2"/>
    <n v="82.19"/>
    <n v="4"/>
    <n v="328.76"/>
    <x v="9"/>
    <s v="Low"/>
    <s v="Low"/>
    <n v="-1630.48"/>
    <n v="0.1"/>
    <n v="295.88400000000001"/>
  </r>
  <r>
    <x v="664"/>
    <x v="77"/>
    <x v="1"/>
    <s v="Formal"/>
    <x v="1"/>
    <x v="2"/>
    <x v="0"/>
    <n v="52.39"/>
    <n v="9"/>
    <n v="471.51"/>
    <x v="7"/>
    <s v="Low"/>
    <s v="Low"/>
    <n v="142.75"/>
    <n v="0.1"/>
    <n v="424.35899999999998"/>
  </r>
  <r>
    <x v="665"/>
    <x v="311"/>
    <x v="3"/>
    <s v="Formal"/>
    <x v="3"/>
    <x v="6"/>
    <x v="1"/>
    <n v="63.63"/>
    <n v="15"/>
    <n v="954.45"/>
    <x v="10"/>
    <s v="Low"/>
    <s v="Average"/>
    <n v="482.94000000000005"/>
    <n v="0.1"/>
    <n v="859.00500000000011"/>
  </r>
  <r>
    <x v="666"/>
    <x v="30"/>
    <x v="2"/>
    <s v="Casual"/>
    <x v="5"/>
    <x v="3"/>
    <x v="1"/>
    <n v="84.11"/>
    <n v="2"/>
    <n v="168.22"/>
    <x v="5"/>
    <s v="Low"/>
    <s v="Low"/>
    <n v="-786.23"/>
    <n v="0.1"/>
    <n v="151.398"/>
  </r>
  <r>
    <x v="667"/>
    <x v="239"/>
    <x v="3"/>
    <s v="Sneakers"/>
    <x v="1"/>
    <x v="1"/>
    <x v="0"/>
    <n v="65.349999999999994"/>
    <n v="13"/>
    <n v="849.55"/>
    <x v="9"/>
    <s v="Low"/>
    <s v="Average"/>
    <n v="681.32999999999993"/>
    <n v="0.1"/>
    <n v="764.59500000000003"/>
  </r>
  <r>
    <x v="668"/>
    <x v="119"/>
    <x v="0"/>
    <s v="Casual"/>
    <x v="5"/>
    <x v="6"/>
    <x v="0"/>
    <n v="71.040000000000006"/>
    <n v="7"/>
    <n v="497.28"/>
    <x v="10"/>
    <s v="Low"/>
    <s v="Low"/>
    <n v="-352.27"/>
    <n v="0.1"/>
    <n v="447.55199999999996"/>
  </r>
  <r>
    <x v="669"/>
    <x v="280"/>
    <x v="4"/>
    <s v="Sports"/>
    <x v="4"/>
    <x v="5"/>
    <x v="2"/>
    <n v="92.72"/>
    <n v="7"/>
    <n v="649.04"/>
    <x v="5"/>
    <s v="Low"/>
    <s v="Average"/>
    <n v="151.76"/>
    <n v="0.1"/>
    <n v="584.13599999999997"/>
  </r>
  <r>
    <x v="670"/>
    <x v="11"/>
    <x v="1"/>
    <s v="Running"/>
    <x v="2"/>
    <x v="3"/>
    <x v="2"/>
    <n v="68.14"/>
    <n v="4"/>
    <n v="272.56"/>
    <x v="0"/>
    <s v="Low"/>
    <s v="Low"/>
    <n v="-376.47999999999996"/>
    <n v="0.1"/>
    <n v="245.304"/>
  </r>
  <r>
    <x v="671"/>
    <x v="133"/>
    <x v="3"/>
    <s v="Formal"/>
    <x v="1"/>
    <x v="5"/>
    <x v="2"/>
    <n v="227.29"/>
    <n v="15"/>
    <n v="3409.35"/>
    <x v="0"/>
    <s v="High"/>
    <s v="Excellent"/>
    <n v="3136.79"/>
    <n v="0.1"/>
    <n v="3068.415"/>
  </r>
  <r>
    <x v="672"/>
    <x v="220"/>
    <x v="4"/>
    <s v="Boots"/>
    <x v="3"/>
    <x v="1"/>
    <x v="2"/>
    <n v="47.65"/>
    <n v="6"/>
    <n v="285.89999999999998"/>
    <x v="7"/>
    <s v="Low"/>
    <s v="Low"/>
    <n v="-3123.45"/>
    <n v="0.1"/>
    <n v="257.31"/>
  </r>
  <r>
    <x v="673"/>
    <x v="112"/>
    <x v="0"/>
    <s v="Casual"/>
    <x v="1"/>
    <x v="4"/>
    <x v="0"/>
    <n v="145.38999999999999"/>
    <n v="13"/>
    <n v="1890.07"/>
    <x v="11"/>
    <s v="Low"/>
    <s v="Good"/>
    <n v="1604.17"/>
    <n v="0.1"/>
    <n v="1701.0629999999999"/>
  </r>
  <r>
    <x v="674"/>
    <x v="168"/>
    <x v="1"/>
    <s v="Casual"/>
    <x v="0"/>
    <x v="2"/>
    <x v="2"/>
    <n v="120.29"/>
    <n v="8"/>
    <n v="962.32"/>
    <x v="10"/>
    <s v="Low"/>
    <s v="Average"/>
    <n v="-927.74999999999989"/>
    <n v="0.1"/>
    <n v="866.08800000000008"/>
  </r>
  <r>
    <x v="675"/>
    <x v="312"/>
    <x v="1"/>
    <s v="Running"/>
    <x v="4"/>
    <x v="0"/>
    <x v="1"/>
    <n v="246.12"/>
    <n v="1"/>
    <n v="246.12"/>
    <x v="9"/>
    <s v="Low"/>
    <s v="Low"/>
    <n v="-716.2"/>
    <n v="0.1"/>
    <n v="221.50800000000001"/>
  </r>
  <r>
    <x v="676"/>
    <x v="313"/>
    <x v="0"/>
    <s v="Casual"/>
    <x v="0"/>
    <x v="5"/>
    <x v="2"/>
    <n v="54.65"/>
    <n v="20"/>
    <n v="1093"/>
    <x v="1"/>
    <s v="Low"/>
    <s v="Average"/>
    <n v="846.88"/>
    <n v="0.1"/>
    <n v="983.7"/>
  </r>
  <r>
    <x v="677"/>
    <x v="229"/>
    <x v="5"/>
    <s v="Formal"/>
    <x v="0"/>
    <x v="6"/>
    <x v="2"/>
    <n v="117.53"/>
    <n v="9"/>
    <n v="1057.77"/>
    <x v="8"/>
    <s v="Low"/>
    <s v="Average"/>
    <n v="-35.230000000000018"/>
    <n v="0.1"/>
    <n v="951.99300000000005"/>
  </r>
  <r>
    <x v="678"/>
    <x v="314"/>
    <x v="4"/>
    <s v="Boots"/>
    <x v="1"/>
    <x v="4"/>
    <x v="1"/>
    <n v="243.28"/>
    <n v="15"/>
    <n v="3649.2"/>
    <x v="10"/>
    <s v="High"/>
    <s v="Excellent"/>
    <n v="2591.4299999999998"/>
    <n v="0.1"/>
    <n v="3284.2799999999997"/>
  </r>
  <r>
    <x v="679"/>
    <x v="165"/>
    <x v="0"/>
    <s v="Running"/>
    <x v="1"/>
    <x v="2"/>
    <x v="2"/>
    <n v="220.41"/>
    <n v="19"/>
    <n v="4187.79"/>
    <x v="5"/>
    <s v="High"/>
    <s v="Excellent"/>
    <n v="538.59000000000015"/>
    <n v="0.1"/>
    <n v="3769.011"/>
  </r>
  <r>
    <x v="680"/>
    <x v="186"/>
    <x v="2"/>
    <s v="Sports"/>
    <x v="0"/>
    <x v="2"/>
    <x v="0"/>
    <n v="209.76"/>
    <n v="20"/>
    <n v="4195.2"/>
    <x v="3"/>
    <s v="High"/>
    <s v="Excellent"/>
    <n v="7.4099999999998545"/>
    <n v="0.1"/>
    <n v="3775.68"/>
  </r>
  <r>
    <x v="681"/>
    <x v="315"/>
    <x v="4"/>
    <s v="Sports"/>
    <x v="3"/>
    <x v="3"/>
    <x v="2"/>
    <n v="86.74"/>
    <n v="3"/>
    <n v="260.22000000000003"/>
    <x v="9"/>
    <s v="Low"/>
    <s v="Low"/>
    <n v="-3934.9799999999996"/>
    <n v="0.1"/>
    <n v="234.19800000000004"/>
  </r>
  <r>
    <x v="682"/>
    <x v="316"/>
    <x v="3"/>
    <s v="Casual"/>
    <x v="1"/>
    <x v="4"/>
    <x v="0"/>
    <n v="67.599999999999994"/>
    <n v="10"/>
    <n v="676"/>
    <x v="6"/>
    <s v="Low"/>
    <s v="Average"/>
    <n v="415.78"/>
    <n v="0.1"/>
    <n v="608.4"/>
  </r>
  <r>
    <x v="683"/>
    <x v="317"/>
    <x v="5"/>
    <s v="Boots"/>
    <x v="0"/>
    <x v="2"/>
    <x v="0"/>
    <n v="177.1"/>
    <n v="20"/>
    <n v="3542"/>
    <x v="11"/>
    <s v="High"/>
    <s v="Excellent"/>
    <n v="2866"/>
    <n v="0.1"/>
    <n v="3187.8"/>
  </r>
  <r>
    <x v="684"/>
    <x v="318"/>
    <x v="4"/>
    <s v="Sports"/>
    <x v="4"/>
    <x v="6"/>
    <x v="2"/>
    <n v="234.46"/>
    <n v="16"/>
    <n v="3751.36"/>
    <x v="11"/>
    <s v="High"/>
    <s v="Excellent"/>
    <n v="209.36000000000013"/>
    <n v="0.1"/>
    <n v="3376.2240000000002"/>
  </r>
  <r>
    <x v="685"/>
    <x v="319"/>
    <x v="1"/>
    <s v="Sneakers"/>
    <x v="2"/>
    <x v="3"/>
    <x v="1"/>
    <n v="152.49"/>
    <n v="19"/>
    <n v="2897.31"/>
    <x v="11"/>
    <s v="High"/>
    <s v="Good"/>
    <n v="-854.05000000000018"/>
    <n v="0.1"/>
    <n v="2607.5790000000002"/>
  </r>
  <r>
    <x v="686"/>
    <x v="168"/>
    <x v="1"/>
    <s v="Formal"/>
    <x v="3"/>
    <x v="3"/>
    <x v="1"/>
    <n v="155.75"/>
    <n v="18"/>
    <n v="2803.5"/>
    <x v="10"/>
    <s v="High"/>
    <s v="Good"/>
    <n v="-93.809999999999945"/>
    <n v="0.1"/>
    <n v="2523.15"/>
  </r>
  <r>
    <x v="687"/>
    <x v="157"/>
    <x v="1"/>
    <s v="Sneakers"/>
    <x v="2"/>
    <x v="3"/>
    <x v="0"/>
    <n v="91.6"/>
    <n v="6"/>
    <n v="549.6"/>
    <x v="7"/>
    <s v="Low"/>
    <s v="Average"/>
    <n v="-2253.9"/>
    <n v="0.1"/>
    <n v="494.64000000000004"/>
  </r>
  <r>
    <x v="688"/>
    <x v="145"/>
    <x v="1"/>
    <s v="Sports"/>
    <x v="3"/>
    <x v="4"/>
    <x v="1"/>
    <n v="199.29"/>
    <n v="5"/>
    <n v="996.45"/>
    <x v="2"/>
    <s v="Low"/>
    <s v="Average"/>
    <n v="446.85"/>
    <n v="0.1"/>
    <n v="896.80500000000006"/>
  </r>
  <r>
    <x v="689"/>
    <x v="38"/>
    <x v="1"/>
    <s v="Running"/>
    <x v="2"/>
    <x v="3"/>
    <x v="0"/>
    <n v="71.150000000000006"/>
    <n v="11"/>
    <n v="782.65"/>
    <x v="10"/>
    <s v="Low"/>
    <s v="Average"/>
    <n v="-213.80000000000007"/>
    <n v="0.1"/>
    <n v="704.38499999999999"/>
  </r>
  <r>
    <x v="690"/>
    <x v="274"/>
    <x v="4"/>
    <s v="Sports"/>
    <x v="0"/>
    <x v="5"/>
    <x v="2"/>
    <n v="101.21"/>
    <n v="14"/>
    <n v="1416.94"/>
    <x v="7"/>
    <s v="Low"/>
    <s v="Average"/>
    <n v="634.29000000000008"/>
    <n v="0.1"/>
    <n v="1275.2460000000001"/>
  </r>
  <r>
    <x v="691"/>
    <x v="320"/>
    <x v="5"/>
    <s v="Running"/>
    <x v="3"/>
    <x v="5"/>
    <x v="1"/>
    <n v="123.6"/>
    <n v="4"/>
    <n v="494.4"/>
    <x v="2"/>
    <s v="Low"/>
    <s v="Low"/>
    <n v="-922.54000000000008"/>
    <n v="0.1"/>
    <n v="444.96"/>
  </r>
  <r>
    <x v="692"/>
    <x v="48"/>
    <x v="5"/>
    <s v="Casual"/>
    <x v="1"/>
    <x v="1"/>
    <x v="1"/>
    <n v="141.66999999999999"/>
    <n v="3"/>
    <n v="425.01"/>
    <x v="0"/>
    <s v="Low"/>
    <s v="Low"/>
    <n v="-69.389999999999986"/>
    <n v="0.1"/>
    <n v="382.50900000000001"/>
  </r>
  <r>
    <x v="693"/>
    <x v="20"/>
    <x v="4"/>
    <s v="Formal"/>
    <x v="5"/>
    <x v="4"/>
    <x v="0"/>
    <n v="83.33"/>
    <n v="17"/>
    <n v="1416.61"/>
    <x v="5"/>
    <s v="Low"/>
    <s v="Average"/>
    <n v="991.59999999999991"/>
    <n v="0.1"/>
    <n v="1274.9489999999998"/>
  </r>
  <r>
    <x v="694"/>
    <x v="18"/>
    <x v="4"/>
    <s v="Formal"/>
    <x v="1"/>
    <x v="6"/>
    <x v="0"/>
    <n v="55.26"/>
    <n v="7"/>
    <n v="386.82"/>
    <x v="1"/>
    <s v="Low"/>
    <s v="Low"/>
    <n v="-1029.79"/>
    <n v="0.1"/>
    <n v="348.13799999999998"/>
  </r>
  <r>
    <x v="695"/>
    <x v="15"/>
    <x v="0"/>
    <s v="Formal"/>
    <x v="0"/>
    <x v="2"/>
    <x v="0"/>
    <n v="164.34"/>
    <n v="6"/>
    <n v="986.04"/>
    <x v="7"/>
    <s v="Low"/>
    <s v="Average"/>
    <n v="599.22"/>
    <n v="0.1"/>
    <n v="887.43600000000004"/>
  </r>
  <r>
    <x v="696"/>
    <x v="69"/>
    <x v="0"/>
    <s v="Formal"/>
    <x v="0"/>
    <x v="0"/>
    <x v="0"/>
    <n v="93.5"/>
    <n v="2"/>
    <n v="187"/>
    <x v="7"/>
    <s v="Low"/>
    <s v="Low"/>
    <n v="-799.04"/>
    <n v="0.1"/>
    <n v="168.3"/>
  </r>
  <r>
    <x v="697"/>
    <x v="9"/>
    <x v="5"/>
    <s v="Running"/>
    <x v="2"/>
    <x v="5"/>
    <x v="2"/>
    <n v="157.87"/>
    <n v="6"/>
    <n v="947.22"/>
    <x v="3"/>
    <s v="Low"/>
    <s v="Average"/>
    <n v="760.22"/>
    <n v="0.1"/>
    <n v="852.49800000000005"/>
  </r>
  <r>
    <x v="698"/>
    <x v="79"/>
    <x v="5"/>
    <s v="Formal"/>
    <x v="4"/>
    <x v="6"/>
    <x v="0"/>
    <n v="63.96"/>
    <n v="14"/>
    <n v="895.44"/>
    <x v="0"/>
    <s v="Low"/>
    <s v="Average"/>
    <n v="-51.779999999999973"/>
    <n v="0.1"/>
    <n v="805.89600000000007"/>
  </r>
  <r>
    <x v="699"/>
    <x v="64"/>
    <x v="3"/>
    <s v="Boots"/>
    <x v="0"/>
    <x v="1"/>
    <x v="2"/>
    <n v="135.85"/>
    <n v="18"/>
    <n v="2445.3000000000002"/>
    <x v="11"/>
    <s v="High"/>
    <s v="Good"/>
    <n v="1549.8600000000001"/>
    <n v="0.1"/>
    <n v="2200.7700000000004"/>
  </r>
  <r>
    <x v="700"/>
    <x v="189"/>
    <x v="0"/>
    <s v="Boots"/>
    <x v="5"/>
    <x v="2"/>
    <x v="1"/>
    <n v="147.16999999999999"/>
    <n v="7"/>
    <n v="1030.19"/>
    <x v="9"/>
    <s v="Low"/>
    <s v="Average"/>
    <n v="-1415.1100000000001"/>
    <n v="0.1"/>
    <n v="927.17100000000005"/>
  </r>
  <r>
    <x v="701"/>
    <x v="37"/>
    <x v="1"/>
    <s v="Sports"/>
    <x v="0"/>
    <x v="0"/>
    <x v="0"/>
    <n v="41.4"/>
    <n v="8"/>
    <n v="331.2"/>
    <x v="6"/>
    <s v="Low"/>
    <s v="Low"/>
    <n v="-698.99"/>
    <n v="0.1"/>
    <n v="298.08"/>
  </r>
  <r>
    <x v="702"/>
    <x v="200"/>
    <x v="2"/>
    <s v="Sports"/>
    <x v="2"/>
    <x v="1"/>
    <x v="0"/>
    <n v="104.05"/>
    <n v="17"/>
    <n v="1768.85"/>
    <x v="5"/>
    <s v="Low"/>
    <s v="Good"/>
    <n v="1437.6499999999999"/>
    <n v="0.1"/>
    <n v="1591.9649999999999"/>
  </r>
  <r>
    <x v="703"/>
    <x v="23"/>
    <x v="5"/>
    <s v="Boots"/>
    <x v="1"/>
    <x v="5"/>
    <x v="1"/>
    <n v="59.57"/>
    <n v="10"/>
    <n v="595.70000000000005"/>
    <x v="7"/>
    <s v="Low"/>
    <s v="Average"/>
    <n v="-1173.1499999999999"/>
    <n v="0.1"/>
    <n v="536.13000000000011"/>
  </r>
  <r>
    <x v="704"/>
    <x v="211"/>
    <x v="1"/>
    <s v="Casual"/>
    <x v="0"/>
    <x v="6"/>
    <x v="2"/>
    <n v="43.94"/>
    <n v="14"/>
    <n v="615.16"/>
    <x v="7"/>
    <s v="Low"/>
    <s v="Average"/>
    <n v="19.459999999999923"/>
    <n v="0.1"/>
    <n v="553.64400000000001"/>
  </r>
  <r>
    <x v="705"/>
    <x v="311"/>
    <x v="5"/>
    <s v="Running"/>
    <x v="2"/>
    <x v="0"/>
    <x v="1"/>
    <n v="247.79"/>
    <n v="6"/>
    <n v="1486.74"/>
    <x v="10"/>
    <s v="Low"/>
    <s v="Average"/>
    <n v="871.58"/>
    <n v="0.1"/>
    <n v="1338.066"/>
  </r>
  <r>
    <x v="706"/>
    <x v="162"/>
    <x v="1"/>
    <s v="Running"/>
    <x v="1"/>
    <x v="5"/>
    <x v="0"/>
    <n v="100.92"/>
    <n v="7"/>
    <n v="706.44"/>
    <x v="1"/>
    <s v="Low"/>
    <s v="Average"/>
    <n v="-780.3"/>
    <n v="0.1"/>
    <n v="635.79600000000005"/>
  </r>
  <r>
    <x v="707"/>
    <x v="231"/>
    <x v="1"/>
    <s v="Boots"/>
    <x v="5"/>
    <x v="6"/>
    <x v="1"/>
    <n v="208.17"/>
    <n v="12"/>
    <n v="2498.04"/>
    <x v="1"/>
    <s v="High"/>
    <s v="Good"/>
    <n v="1791.6"/>
    <n v="0.1"/>
    <n v="2248.2359999999999"/>
  </r>
  <r>
    <x v="708"/>
    <x v="156"/>
    <x v="2"/>
    <s v="Running"/>
    <x v="1"/>
    <x v="1"/>
    <x v="1"/>
    <n v="86.02"/>
    <n v="18"/>
    <n v="1548.36"/>
    <x v="6"/>
    <s v="Low"/>
    <s v="Good"/>
    <n v="-949.68000000000006"/>
    <n v="0.1"/>
    <n v="1393.5239999999999"/>
  </r>
  <r>
    <x v="709"/>
    <x v="178"/>
    <x v="0"/>
    <s v="Boots"/>
    <x v="5"/>
    <x v="6"/>
    <x v="2"/>
    <n v="179.93"/>
    <n v="1"/>
    <n v="179.93"/>
    <x v="4"/>
    <s v="Low"/>
    <s v="Low"/>
    <n v="-1368.4299999999998"/>
    <n v="0.1"/>
    <n v="161.93700000000001"/>
  </r>
  <r>
    <x v="710"/>
    <x v="276"/>
    <x v="2"/>
    <s v="Sports"/>
    <x v="4"/>
    <x v="2"/>
    <x v="0"/>
    <n v="197.25"/>
    <n v="4"/>
    <n v="789"/>
    <x v="5"/>
    <s v="Low"/>
    <s v="Average"/>
    <n v="609.06999999999994"/>
    <n v="0.1"/>
    <n v="710.1"/>
  </r>
  <r>
    <x v="711"/>
    <x v="256"/>
    <x v="4"/>
    <s v="Formal"/>
    <x v="3"/>
    <x v="1"/>
    <x v="1"/>
    <n v="161.04"/>
    <n v="1"/>
    <n v="161.04"/>
    <x v="10"/>
    <s v="Low"/>
    <s v="Low"/>
    <n v="-627.96"/>
    <n v="0.1"/>
    <n v="144.93600000000001"/>
  </r>
  <r>
    <x v="712"/>
    <x v="282"/>
    <x v="2"/>
    <s v="Sneakers"/>
    <x v="3"/>
    <x v="0"/>
    <x v="2"/>
    <n v="133.75"/>
    <n v="9"/>
    <n v="1203.75"/>
    <x v="9"/>
    <s v="Low"/>
    <s v="Average"/>
    <n v="1042.71"/>
    <n v="0.1"/>
    <n v="1083.375"/>
  </r>
  <r>
    <x v="713"/>
    <x v="321"/>
    <x v="1"/>
    <s v="Sneakers"/>
    <x v="5"/>
    <x v="3"/>
    <x v="0"/>
    <n v="120.61"/>
    <n v="17"/>
    <n v="2050.37"/>
    <x v="4"/>
    <s v="High"/>
    <s v="Good"/>
    <n v="846.61999999999989"/>
    <n v="0.1"/>
    <n v="1845.3329999999999"/>
  </r>
  <r>
    <x v="714"/>
    <x v="54"/>
    <x v="3"/>
    <s v="Sneakers"/>
    <x v="2"/>
    <x v="4"/>
    <x v="2"/>
    <n v="106.75"/>
    <n v="16"/>
    <n v="1708"/>
    <x v="4"/>
    <s v="Low"/>
    <s v="Good"/>
    <n v="-342.36999999999989"/>
    <n v="0.1"/>
    <n v="1537.2"/>
  </r>
  <r>
    <x v="715"/>
    <x v="322"/>
    <x v="4"/>
    <s v="Boots"/>
    <x v="4"/>
    <x v="3"/>
    <x v="0"/>
    <n v="234.5"/>
    <n v="7"/>
    <n v="1641.5"/>
    <x v="9"/>
    <s v="Low"/>
    <s v="Good"/>
    <n v="-66.5"/>
    <n v="0.1"/>
    <n v="1477.3500000000001"/>
  </r>
  <r>
    <x v="716"/>
    <x v="300"/>
    <x v="5"/>
    <s v="Casual"/>
    <x v="3"/>
    <x v="6"/>
    <x v="2"/>
    <n v="212.74"/>
    <n v="18"/>
    <n v="3829.32"/>
    <x v="11"/>
    <s v="High"/>
    <s v="Excellent"/>
    <n v="2187.8200000000002"/>
    <n v="0.1"/>
    <n v="3446.3880000000004"/>
  </r>
  <r>
    <x v="717"/>
    <x v="251"/>
    <x v="0"/>
    <s v="Boots"/>
    <x v="5"/>
    <x v="1"/>
    <x v="1"/>
    <n v="242.31"/>
    <n v="1"/>
    <n v="242.31"/>
    <x v="6"/>
    <s v="Low"/>
    <s v="Low"/>
    <n v="-3587.01"/>
    <n v="0.1"/>
    <n v="218.07900000000001"/>
  </r>
  <r>
    <x v="718"/>
    <x v="34"/>
    <x v="3"/>
    <s v="Running"/>
    <x v="1"/>
    <x v="1"/>
    <x v="1"/>
    <n v="57.35"/>
    <n v="16"/>
    <n v="917.6"/>
    <x v="8"/>
    <s v="Low"/>
    <s v="Average"/>
    <n v="675.29"/>
    <n v="0.1"/>
    <n v="825.84"/>
  </r>
  <r>
    <x v="719"/>
    <x v="210"/>
    <x v="1"/>
    <s v="Casual"/>
    <x v="4"/>
    <x v="3"/>
    <x v="2"/>
    <n v="190.79"/>
    <n v="9"/>
    <n v="1717.11"/>
    <x v="4"/>
    <s v="Low"/>
    <s v="Good"/>
    <n v="799.50999999999988"/>
    <n v="0.1"/>
    <n v="1545.3989999999999"/>
  </r>
  <r>
    <x v="720"/>
    <x v="320"/>
    <x v="0"/>
    <s v="Casual"/>
    <x v="5"/>
    <x v="4"/>
    <x v="2"/>
    <n v="236.43"/>
    <n v="2"/>
    <n v="472.86"/>
    <x v="2"/>
    <s v="Low"/>
    <s v="Low"/>
    <n v="-1244.25"/>
    <n v="0.1"/>
    <n v="425.57400000000001"/>
  </r>
  <r>
    <x v="721"/>
    <x v="280"/>
    <x v="5"/>
    <s v="Boots"/>
    <x v="5"/>
    <x v="1"/>
    <x v="0"/>
    <n v="69.87"/>
    <n v="11"/>
    <n v="768.57"/>
    <x v="5"/>
    <s v="Low"/>
    <s v="Average"/>
    <n v="295.71000000000004"/>
    <n v="0.1"/>
    <n v="691.71300000000008"/>
  </r>
  <r>
    <x v="722"/>
    <x v="323"/>
    <x v="1"/>
    <s v="Boots"/>
    <x v="2"/>
    <x v="3"/>
    <x v="2"/>
    <n v="44.63"/>
    <n v="5"/>
    <n v="223.15"/>
    <x v="11"/>
    <s v="Low"/>
    <s v="Low"/>
    <n v="-545.42000000000007"/>
    <n v="0.1"/>
    <n v="200.83500000000001"/>
  </r>
  <r>
    <x v="723"/>
    <x v="279"/>
    <x v="4"/>
    <s v="Boots"/>
    <x v="5"/>
    <x v="3"/>
    <x v="2"/>
    <n v="193.05"/>
    <n v="20"/>
    <n v="3861"/>
    <x v="2"/>
    <s v="High"/>
    <s v="Excellent"/>
    <n v="3637.85"/>
    <n v="0.1"/>
    <n v="3474.9"/>
  </r>
  <r>
    <x v="724"/>
    <x v="38"/>
    <x v="5"/>
    <s v="Formal"/>
    <x v="4"/>
    <x v="3"/>
    <x v="2"/>
    <n v="156.38"/>
    <n v="4"/>
    <n v="625.52"/>
    <x v="10"/>
    <s v="Low"/>
    <s v="Average"/>
    <n v="-3235.48"/>
    <n v="0.1"/>
    <n v="562.96799999999996"/>
  </r>
  <r>
    <x v="725"/>
    <x v="29"/>
    <x v="5"/>
    <s v="Boots"/>
    <x v="2"/>
    <x v="1"/>
    <x v="0"/>
    <n v="215.2"/>
    <n v="16"/>
    <n v="3443.2"/>
    <x v="8"/>
    <s v="High"/>
    <s v="Excellent"/>
    <n v="2817.68"/>
    <n v="0.1"/>
    <n v="3098.88"/>
  </r>
  <r>
    <x v="726"/>
    <x v="82"/>
    <x v="3"/>
    <s v="Running"/>
    <x v="4"/>
    <x v="5"/>
    <x v="2"/>
    <n v="60.75"/>
    <n v="2"/>
    <n v="121.5"/>
    <x v="8"/>
    <s v="Low"/>
    <s v="Low"/>
    <n v="-3321.7"/>
    <n v="0.1"/>
    <n v="109.35000000000001"/>
  </r>
  <r>
    <x v="727"/>
    <x v="324"/>
    <x v="3"/>
    <s v="Sneakers"/>
    <x v="4"/>
    <x v="4"/>
    <x v="2"/>
    <n v="204.96"/>
    <n v="15"/>
    <n v="3074.4"/>
    <x v="3"/>
    <s v="High"/>
    <s v="Excellent"/>
    <n v="2952.9"/>
    <n v="0.1"/>
    <n v="2766.96"/>
  </r>
  <r>
    <x v="728"/>
    <x v="325"/>
    <x v="1"/>
    <s v="Boots"/>
    <x v="2"/>
    <x v="6"/>
    <x v="2"/>
    <n v="74.36"/>
    <n v="1"/>
    <n v="74.36"/>
    <x v="0"/>
    <s v="Low"/>
    <s v="Low"/>
    <n v="-3000.04"/>
    <n v="0.1"/>
    <n v="66.924000000000007"/>
  </r>
  <r>
    <x v="729"/>
    <x v="25"/>
    <x v="5"/>
    <s v="Running"/>
    <x v="5"/>
    <x v="3"/>
    <x v="1"/>
    <n v="66"/>
    <n v="14"/>
    <n v="924"/>
    <x v="4"/>
    <s v="Low"/>
    <s v="Average"/>
    <n v="849.64"/>
    <n v="0.1"/>
    <n v="831.6"/>
  </r>
  <r>
    <x v="730"/>
    <x v="69"/>
    <x v="1"/>
    <s v="Boots"/>
    <x v="1"/>
    <x v="4"/>
    <x v="1"/>
    <n v="66.14"/>
    <n v="1"/>
    <n v="66.14"/>
    <x v="7"/>
    <s v="Low"/>
    <s v="Low"/>
    <n v="-857.86"/>
    <n v="0.1"/>
    <n v="59.526000000000003"/>
  </r>
  <r>
    <x v="731"/>
    <x v="9"/>
    <x v="3"/>
    <s v="Boots"/>
    <x v="0"/>
    <x v="5"/>
    <x v="1"/>
    <n v="209.21"/>
    <n v="19"/>
    <n v="3974.99"/>
    <x v="3"/>
    <s v="High"/>
    <s v="Excellent"/>
    <n v="3908.85"/>
    <n v="0.1"/>
    <n v="3577.491"/>
  </r>
  <r>
    <x v="732"/>
    <x v="83"/>
    <x v="0"/>
    <s v="Formal"/>
    <x v="3"/>
    <x v="2"/>
    <x v="0"/>
    <n v="176.34"/>
    <n v="20"/>
    <n v="3526.8"/>
    <x v="8"/>
    <s v="High"/>
    <s v="Excellent"/>
    <n v="-448.1899999999996"/>
    <n v="0.1"/>
    <n v="3174.1200000000003"/>
  </r>
  <r>
    <x v="733"/>
    <x v="315"/>
    <x v="1"/>
    <s v="Boots"/>
    <x v="3"/>
    <x v="6"/>
    <x v="0"/>
    <n v="145.07"/>
    <n v="12"/>
    <n v="1740.84"/>
    <x v="9"/>
    <s v="Low"/>
    <s v="Good"/>
    <n v="-1785.9600000000003"/>
    <n v="0.1"/>
    <n v="1566.7559999999999"/>
  </r>
  <r>
    <x v="734"/>
    <x v="14"/>
    <x v="0"/>
    <s v="Running"/>
    <x v="3"/>
    <x v="0"/>
    <x v="1"/>
    <n v="108.94"/>
    <n v="20"/>
    <n v="2178.8000000000002"/>
    <x v="3"/>
    <s v="High"/>
    <s v="Good"/>
    <n v="437.96000000000026"/>
    <n v="0.1"/>
    <n v="1960.9200000000003"/>
  </r>
  <r>
    <x v="735"/>
    <x v="136"/>
    <x v="3"/>
    <s v="Running"/>
    <x v="4"/>
    <x v="3"/>
    <x v="0"/>
    <n v="222.98"/>
    <n v="16"/>
    <n v="3567.68"/>
    <x v="2"/>
    <s v="High"/>
    <s v="Excellent"/>
    <n v="1388.8799999999997"/>
    <n v="0.1"/>
    <n v="3210.9119999999998"/>
  </r>
  <r>
    <x v="736"/>
    <x v="92"/>
    <x v="0"/>
    <s v="Sneakers"/>
    <x v="2"/>
    <x v="5"/>
    <x v="1"/>
    <n v="116.34"/>
    <n v="9"/>
    <n v="1047.06"/>
    <x v="7"/>
    <s v="Low"/>
    <s v="Average"/>
    <n v="-2520.62"/>
    <n v="0.1"/>
    <n v="942.35399999999993"/>
  </r>
  <r>
    <x v="737"/>
    <x v="8"/>
    <x v="3"/>
    <s v="Running"/>
    <x v="4"/>
    <x v="6"/>
    <x v="1"/>
    <n v="209.65"/>
    <n v="13"/>
    <n v="2725.45"/>
    <x v="5"/>
    <s v="High"/>
    <s v="Good"/>
    <n v="1678.3899999999999"/>
    <n v="0.1"/>
    <n v="2452.9049999999997"/>
  </r>
  <r>
    <x v="738"/>
    <x v="214"/>
    <x v="5"/>
    <s v="Formal"/>
    <x v="0"/>
    <x v="1"/>
    <x v="2"/>
    <n v="126.61"/>
    <n v="3"/>
    <n v="379.83"/>
    <x v="2"/>
    <s v="Low"/>
    <s v="Low"/>
    <n v="-2345.62"/>
    <n v="0.1"/>
    <n v="341.84699999999998"/>
  </r>
  <r>
    <x v="739"/>
    <x v="307"/>
    <x v="0"/>
    <s v="Formal"/>
    <x v="4"/>
    <x v="1"/>
    <x v="1"/>
    <n v="112.93"/>
    <n v="1"/>
    <n v="112.93"/>
    <x v="8"/>
    <s v="Low"/>
    <s v="Low"/>
    <n v="-266.89999999999998"/>
    <n v="0.1"/>
    <n v="101.63700000000001"/>
  </r>
  <r>
    <x v="740"/>
    <x v="238"/>
    <x v="0"/>
    <s v="Sneakers"/>
    <x v="1"/>
    <x v="2"/>
    <x v="2"/>
    <n v="131.79"/>
    <n v="1"/>
    <n v="131.79"/>
    <x v="3"/>
    <s v="Low"/>
    <s v="Low"/>
    <n v="18.859999999999985"/>
    <n v="0.1"/>
    <n v="118.61099999999999"/>
  </r>
  <r>
    <x v="741"/>
    <x v="290"/>
    <x v="3"/>
    <s v="Boots"/>
    <x v="3"/>
    <x v="6"/>
    <x v="2"/>
    <n v="96.3"/>
    <n v="18"/>
    <n v="1733.4"/>
    <x v="9"/>
    <s v="Low"/>
    <s v="Good"/>
    <n v="1601.6100000000001"/>
    <n v="0.1"/>
    <n v="1560.0600000000002"/>
  </r>
  <r>
    <x v="742"/>
    <x v="213"/>
    <x v="3"/>
    <s v="Formal"/>
    <x v="0"/>
    <x v="5"/>
    <x v="1"/>
    <n v="194.47"/>
    <n v="2"/>
    <n v="388.94"/>
    <x v="5"/>
    <s v="Low"/>
    <s v="Low"/>
    <n v="-1344.46"/>
    <n v="0.1"/>
    <n v="350.04599999999999"/>
  </r>
  <r>
    <x v="743"/>
    <x v="106"/>
    <x v="1"/>
    <s v="Boots"/>
    <x v="0"/>
    <x v="2"/>
    <x v="2"/>
    <n v="140.6"/>
    <n v="16"/>
    <n v="2249.6"/>
    <x v="0"/>
    <s v="High"/>
    <s v="Good"/>
    <n v="1860.6599999999999"/>
    <n v="0.1"/>
    <n v="2024.6399999999999"/>
  </r>
  <r>
    <x v="744"/>
    <x v="177"/>
    <x v="1"/>
    <s v="Casual"/>
    <x v="5"/>
    <x v="3"/>
    <x v="2"/>
    <n v="81.09"/>
    <n v="4"/>
    <n v="324.36"/>
    <x v="4"/>
    <s v="Low"/>
    <s v="Low"/>
    <n v="-1925.2399999999998"/>
    <n v="0.1"/>
    <n v="291.92400000000004"/>
  </r>
  <r>
    <x v="745"/>
    <x v="79"/>
    <x v="2"/>
    <s v="Sneakers"/>
    <x v="0"/>
    <x v="2"/>
    <x v="0"/>
    <n v="227.91"/>
    <n v="10"/>
    <n v="2279.1"/>
    <x v="0"/>
    <s v="High"/>
    <s v="Good"/>
    <n v="1954.7399999999998"/>
    <n v="0.1"/>
    <n v="2051.19"/>
  </r>
  <r>
    <x v="746"/>
    <x v="152"/>
    <x v="5"/>
    <s v="Casual"/>
    <x v="3"/>
    <x v="2"/>
    <x v="1"/>
    <n v="114.46"/>
    <n v="6"/>
    <n v="686.76"/>
    <x v="11"/>
    <s v="Low"/>
    <s v="Average"/>
    <n v="-1592.34"/>
    <n v="0.1"/>
    <n v="618.08400000000006"/>
  </r>
  <r>
    <x v="747"/>
    <x v="169"/>
    <x v="4"/>
    <s v="Sneakers"/>
    <x v="2"/>
    <x v="0"/>
    <x v="0"/>
    <n v="149.58000000000001"/>
    <n v="4"/>
    <n v="598.32000000000005"/>
    <x v="5"/>
    <s v="Low"/>
    <s v="Average"/>
    <n v="-88.439999999999941"/>
    <n v="0.1"/>
    <n v="538.48800000000006"/>
  </r>
  <r>
    <x v="748"/>
    <x v="285"/>
    <x v="5"/>
    <s v="Casual"/>
    <x v="3"/>
    <x v="3"/>
    <x v="0"/>
    <n v="229.42"/>
    <n v="7"/>
    <n v="1605.94"/>
    <x v="5"/>
    <s v="Low"/>
    <s v="Good"/>
    <n v="1007.62"/>
    <n v="0.1"/>
    <n v="1445.346"/>
  </r>
  <r>
    <x v="749"/>
    <x v="172"/>
    <x v="1"/>
    <s v="Boots"/>
    <x v="1"/>
    <x v="1"/>
    <x v="2"/>
    <n v="167.33"/>
    <n v="2"/>
    <n v="334.66"/>
    <x v="2"/>
    <s v="Low"/>
    <s v="Low"/>
    <n v="-1271.28"/>
    <n v="0.1"/>
    <n v="301.19400000000002"/>
  </r>
  <r>
    <x v="750"/>
    <x v="286"/>
    <x v="2"/>
    <s v="Casual"/>
    <x v="4"/>
    <x v="1"/>
    <x v="1"/>
    <n v="55.72"/>
    <n v="19"/>
    <n v="1058.68"/>
    <x v="2"/>
    <s v="Low"/>
    <s v="Average"/>
    <n v="724.02"/>
    <n v="0.1"/>
    <n v="952.81200000000013"/>
  </r>
  <r>
    <x v="751"/>
    <x v="222"/>
    <x v="5"/>
    <s v="Sneakers"/>
    <x v="4"/>
    <x v="5"/>
    <x v="0"/>
    <n v="236.76"/>
    <n v="18"/>
    <n v="4261.68"/>
    <x v="11"/>
    <s v="High"/>
    <s v="Excellent"/>
    <n v="3203"/>
    <n v="0.1"/>
    <n v="3835.5120000000002"/>
  </r>
  <r>
    <x v="752"/>
    <x v="117"/>
    <x v="3"/>
    <s v="Boots"/>
    <x v="2"/>
    <x v="1"/>
    <x v="2"/>
    <n v="168.1"/>
    <n v="19"/>
    <n v="3193.9"/>
    <x v="8"/>
    <s v="High"/>
    <s v="Excellent"/>
    <n v="-1067.7800000000002"/>
    <n v="0.1"/>
    <n v="2874.51"/>
  </r>
  <r>
    <x v="753"/>
    <x v="139"/>
    <x v="2"/>
    <s v="Sports"/>
    <x v="1"/>
    <x v="6"/>
    <x v="2"/>
    <n v="103.68"/>
    <n v="20"/>
    <n v="2073.6"/>
    <x v="8"/>
    <s v="High"/>
    <s v="Good"/>
    <n v="-1120.3000000000002"/>
    <n v="0.1"/>
    <n v="1866.24"/>
  </r>
  <r>
    <x v="754"/>
    <x v="326"/>
    <x v="4"/>
    <s v="Formal"/>
    <x v="0"/>
    <x v="3"/>
    <x v="2"/>
    <n v="60.64"/>
    <n v="8"/>
    <n v="485.12"/>
    <x v="0"/>
    <s v="Low"/>
    <s v="Low"/>
    <n v="-1588.48"/>
    <n v="0.1"/>
    <n v="436.608"/>
  </r>
  <r>
    <x v="755"/>
    <x v="296"/>
    <x v="5"/>
    <s v="Sneakers"/>
    <x v="3"/>
    <x v="2"/>
    <x v="1"/>
    <n v="204.69"/>
    <n v="5"/>
    <n v="1023.45"/>
    <x v="1"/>
    <s v="Low"/>
    <s v="Average"/>
    <n v="538.33000000000004"/>
    <n v="0.1"/>
    <n v="921.10500000000002"/>
  </r>
  <r>
    <x v="756"/>
    <x v="157"/>
    <x v="4"/>
    <s v="Boots"/>
    <x v="3"/>
    <x v="5"/>
    <x v="1"/>
    <n v="166.42"/>
    <n v="18"/>
    <n v="2995.56"/>
    <x v="7"/>
    <s v="High"/>
    <s v="Good"/>
    <n v="1972.11"/>
    <n v="0.1"/>
    <n v="2696.0039999999999"/>
  </r>
  <r>
    <x v="757"/>
    <x v="314"/>
    <x v="3"/>
    <s v="Sneakers"/>
    <x v="3"/>
    <x v="3"/>
    <x v="1"/>
    <n v="147.36000000000001"/>
    <n v="7"/>
    <n v="1031.52"/>
    <x v="10"/>
    <s v="Low"/>
    <s v="Average"/>
    <n v="-1964.04"/>
    <n v="0.1"/>
    <n v="928.36800000000005"/>
  </r>
  <r>
    <x v="758"/>
    <x v="220"/>
    <x v="1"/>
    <s v="Boots"/>
    <x v="2"/>
    <x v="5"/>
    <x v="1"/>
    <n v="226.66"/>
    <n v="5"/>
    <n v="1133.3"/>
    <x v="7"/>
    <s v="Low"/>
    <s v="Average"/>
    <n v="101.77999999999997"/>
    <n v="0.1"/>
    <n v="1019.97"/>
  </r>
  <r>
    <x v="759"/>
    <x v="91"/>
    <x v="1"/>
    <s v="Running"/>
    <x v="0"/>
    <x v="5"/>
    <x v="2"/>
    <n v="203.49"/>
    <n v="11"/>
    <n v="2238.39"/>
    <x v="8"/>
    <s v="High"/>
    <s v="Good"/>
    <n v="1105.0899999999999"/>
    <n v="0.1"/>
    <n v="2014.5509999999999"/>
  </r>
  <r>
    <x v="760"/>
    <x v="241"/>
    <x v="1"/>
    <s v="Boots"/>
    <x v="4"/>
    <x v="2"/>
    <x v="1"/>
    <n v="63.37"/>
    <n v="19"/>
    <n v="1204.03"/>
    <x v="3"/>
    <s v="Low"/>
    <s v="Average"/>
    <n v="-1034.3599999999999"/>
    <n v="0.1"/>
    <n v="1083.627"/>
  </r>
  <r>
    <x v="761"/>
    <x v="123"/>
    <x v="5"/>
    <s v="Running"/>
    <x v="1"/>
    <x v="1"/>
    <x v="0"/>
    <n v="98.58"/>
    <n v="10"/>
    <n v="985.8"/>
    <x v="3"/>
    <s v="Low"/>
    <s v="Average"/>
    <n v="-218.23000000000002"/>
    <n v="0.1"/>
    <n v="887.22"/>
  </r>
  <r>
    <x v="762"/>
    <x v="20"/>
    <x v="0"/>
    <s v="Boots"/>
    <x v="5"/>
    <x v="0"/>
    <x v="2"/>
    <n v="84.67"/>
    <n v="5"/>
    <n v="423.35"/>
    <x v="5"/>
    <s v="Low"/>
    <s v="Low"/>
    <n v="-562.44999999999993"/>
    <n v="0.1"/>
    <n v="381.01500000000004"/>
  </r>
  <r>
    <x v="763"/>
    <x v="216"/>
    <x v="1"/>
    <s v="Sports"/>
    <x v="2"/>
    <x v="4"/>
    <x v="0"/>
    <n v="193.67"/>
    <n v="10"/>
    <n v="1936.7"/>
    <x v="1"/>
    <s v="Low"/>
    <s v="Good"/>
    <n v="1513.35"/>
    <n v="0.1"/>
    <n v="1743.03"/>
  </r>
  <r>
    <x v="764"/>
    <x v="29"/>
    <x v="3"/>
    <s v="Sneakers"/>
    <x v="5"/>
    <x v="3"/>
    <x v="2"/>
    <n v="37.380000000000003"/>
    <n v="10"/>
    <n v="373.8"/>
    <x v="8"/>
    <s v="Low"/>
    <s v="Low"/>
    <n v="-1562.9"/>
    <n v="0.1"/>
    <n v="336.42"/>
  </r>
  <r>
    <x v="765"/>
    <x v="6"/>
    <x v="1"/>
    <s v="Boots"/>
    <x v="1"/>
    <x v="4"/>
    <x v="0"/>
    <n v="155.38"/>
    <n v="20"/>
    <n v="3107.6"/>
    <x v="4"/>
    <s v="High"/>
    <s v="Excellent"/>
    <n v="2733.7999999999997"/>
    <n v="0.1"/>
    <n v="2796.84"/>
  </r>
  <r>
    <x v="766"/>
    <x v="206"/>
    <x v="5"/>
    <s v="Casual"/>
    <x v="1"/>
    <x v="4"/>
    <x v="1"/>
    <n v="197.74"/>
    <n v="18"/>
    <n v="3559.32"/>
    <x v="0"/>
    <s v="High"/>
    <s v="Excellent"/>
    <n v="451.72000000000025"/>
    <n v="0.1"/>
    <n v="3203.3880000000004"/>
  </r>
  <r>
    <x v="767"/>
    <x v="138"/>
    <x v="5"/>
    <s v="Formal"/>
    <x v="4"/>
    <x v="4"/>
    <x v="1"/>
    <n v="222.89"/>
    <n v="2"/>
    <n v="445.78"/>
    <x v="6"/>
    <s v="Low"/>
    <s v="Low"/>
    <n v="-3113.54"/>
    <n v="0.1"/>
    <n v="401.202"/>
  </r>
  <r>
    <x v="768"/>
    <x v="69"/>
    <x v="0"/>
    <s v="Running"/>
    <x v="3"/>
    <x v="3"/>
    <x v="0"/>
    <n v="105.26"/>
    <n v="18"/>
    <n v="1894.68"/>
    <x v="7"/>
    <s v="Low"/>
    <s v="Good"/>
    <n v="1448.9"/>
    <n v="0.1"/>
    <n v="1705.212"/>
  </r>
  <r>
    <x v="769"/>
    <x v="48"/>
    <x v="3"/>
    <s v="Boots"/>
    <x v="3"/>
    <x v="2"/>
    <x v="1"/>
    <n v="210.68"/>
    <n v="15"/>
    <n v="3160.2"/>
    <x v="0"/>
    <s v="High"/>
    <s v="Excellent"/>
    <n v="1265.5199999999998"/>
    <n v="0.1"/>
    <n v="2844.18"/>
  </r>
  <r>
    <x v="770"/>
    <x v="103"/>
    <x v="2"/>
    <s v="Boots"/>
    <x v="1"/>
    <x v="0"/>
    <x v="1"/>
    <n v="54.34"/>
    <n v="19"/>
    <n v="1032.46"/>
    <x v="5"/>
    <s v="Low"/>
    <s v="Average"/>
    <n v="-2127.7399999999998"/>
    <n v="0.1"/>
    <n v="929.21400000000006"/>
  </r>
  <r>
    <x v="771"/>
    <x v="215"/>
    <x v="5"/>
    <s v="Casual"/>
    <x v="3"/>
    <x v="1"/>
    <x v="0"/>
    <n v="216.22"/>
    <n v="10"/>
    <n v="2162.1999999999998"/>
    <x v="10"/>
    <s v="High"/>
    <s v="Good"/>
    <n v="1129.7399999999998"/>
    <n v="0.1"/>
    <n v="1945.9799999999998"/>
  </r>
  <r>
    <x v="772"/>
    <x v="313"/>
    <x v="0"/>
    <s v="Formal"/>
    <x v="5"/>
    <x v="6"/>
    <x v="2"/>
    <n v="58.05"/>
    <n v="17"/>
    <n v="986.85"/>
    <x v="1"/>
    <s v="Low"/>
    <s v="Average"/>
    <n v="-1175.3499999999999"/>
    <n v="0.1"/>
    <n v="888.16500000000008"/>
  </r>
  <r>
    <x v="773"/>
    <x v="327"/>
    <x v="3"/>
    <s v="Casual"/>
    <x v="1"/>
    <x v="4"/>
    <x v="2"/>
    <n v="117.4"/>
    <n v="9"/>
    <n v="1056.5999999999999"/>
    <x v="3"/>
    <s v="Low"/>
    <s v="Average"/>
    <n v="69.749999999999886"/>
    <n v="0.1"/>
    <n v="950.93999999999994"/>
  </r>
  <r>
    <x v="774"/>
    <x v="247"/>
    <x v="5"/>
    <s v="Boots"/>
    <x v="2"/>
    <x v="1"/>
    <x v="0"/>
    <n v="205.4"/>
    <n v="11"/>
    <n v="2259.4"/>
    <x v="11"/>
    <s v="High"/>
    <s v="Good"/>
    <n v="1202.8000000000002"/>
    <n v="0.1"/>
    <n v="2033.46"/>
  </r>
  <r>
    <x v="775"/>
    <x v="198"/>
    <x v="0"/>
    <s v="Boots"/>
    <x v="1"/>
    <x v="4"/>
    <x v="1"/>
    <n v="62.98"/>
    <n v="20"/>
    <n v="1259.5999999999999"/>
    <x v="7"/>
    <s v="Low"/>
    <s v="Average"/>
    <n v="-999.80000000000018"/>
    <n v="0.1"/>
    <n v="1133.6399999999999"/>
  </r>
  <r>
    <x v="776"/>
    <x v="328"/>
    <x v="2"/>
    <s v="Sneakers"/>
    <x v="0"/>
    <x v="1"/>
    <x v="1"/>
    <n v="80.44"/>
    <n v="16"/>
    <n v="1287.04"/>
    <x v="7"/>
    <s v="Low"/>
    <s v="Average"/>
    <n v="27.440000000000055"/>
    <n v="0.1"/>
    <n v="1158.336"/>
  </r>
  <r>
    <x v="777"/>
    <x v="86"/>
    <x v="3"/>
    <s v="Casual"/>
    <x v="1"/>
    <x v="1"/>
    <x v="1"/>
    <n v="188.9"/>
    <n v="17"/>
    <n v="3211.3"/>
    <x v="7"/>
    <s v="High"/>
    <s v="Excellent"/>
    <n v="1924.2600000000002"/>
    <n v="0.1"/>
    <n v="2890.17"/>
  </r>
  <r>
    <x v="778"/>
    <x v="5"/>
    <x v="2"/>
    <s v="Sneakers"/>
    <x v="4"/>
    <x v="1"/>
    <x v="2"/>
    <n v="188.41"/>
    <n v="14"/>
    <n v="2637.74"/>
    <x v="1"/>
    <s v="High"/>
    <s v="Good"/>
    <n v="-573.5600000000004"/>
    <n v="0.1"/>
    <n v="2373.9659999999999"/>
  </r>
  <r>
    <x v="779"/>
    <x v="168"/>
    <x v="1"/>
    <s v="Sports"/>
    <x v="0"/>
    <x v="3"/>
    <x v="2"/>
    <n v="171.05"/>
    <n v="7"/>
    <n v="1197.3499999999999"/>
    <x v="10"/>
    <s v="Low"/>
    <s v="Average"/>
    <n v="-1440.3899999999999"/>
    <n v="0.1"/>
    <n v="1077.615"/>
  </r>
  <r>
    <x v="780"/>
    <x v="314"/>
    <x v="2"/>
    <s v="Formal"/>
    <x v="1"/>
    <x v="4"/>
    <x v="1"/>
    <n v="182.67"/>
    <n v="20"/>
    <n v="3653.4"/>
    <x v="10"/>
    <s v="High"/>
    <s v="Excellent"/>
    <n v="2456.0500000000002"/>
    <n v="0.1"/>
    <n v="3288.06"/>
  </r>
  <r>
    <x v="781"/>
    <x v="323"/>
    <x v="1"/>
    <s v="Sports"/>
    <x v="4"/>
    <x v="0"/>
    <x v="1"/>
    <n v="149.4"/>
    <n v="4"/>
    <n v="597.6"/>
    <x v="11"/>
    <s v="Low"/>
    <s v="Average"/>
    <n v="-3055.8"/>
    <n v="0.1"/>
    <n v="537.84"/>
  </r>
  <r>
    <x v="782"/>
    <x v="253"/>
    <x v="3"/>
    <s v="Running"/>
    <x v="3"/>
    <x v="3"/>
    <x v="2"/>
    <n v="85.4"/>
    <n v="20"/>
    <n v="1708"/>
    <x v="0"/>
    <s v="Low"/>
    <s v="Good"/>
    <n v="1110.4000000000001"/>
    <n v="0.1"/>
    <n v="1537.2"/>
  </r>
  <r>
    <x v="783"/>
    <x v="177"/>
    <x v="4"/>
    <s v="Sneakers"/>
    <x v="3"/>
    <x v="3"/>
    <x v="0"/>
    <n v="106.05"/>
    <n v="13"/>
    <n v="1378.65"/>
    <x v="4"/>
    <s v="Low"/>
    <s v="Average"/>
    <n v="-329.34999999999991"/>
    <n v="0.1"/>
    <n v="1240.7850000000001"/>
  </r>
  <r>
    <x v="784"/>
    <x v="329"/>
    <x v="2"/>
    <s v="Sneakers"/>
    <x v="4"/>
    <x v="6"/>
    <x v="0"/>
    <n v="69.95"/>
    <n v="12"/>
    <n v="839.4"/>
    <x v="9"/>
    <s v="Low"/>
    <s v="Average"/>
    <n v="-539.25000000000011"/>
    <n v="0.1"/>
    <n v="755.46"/>
  </r>
  <r>
    <x v="785"/>
    <x v="122"/>
    <x v="4"/>
    <s v="Sneakers"/>
    <x v="5"/>
    <x v="1"/>
    <x v="0"/>
    <n v="229.86"/>
    <n v="7"/>
    <n v="1609.02"/>
    <x v="7"/>
    <s v="Low"/>
    <s v="Good"/>
    <n v="769.62"/>
    <n v="0.1"/>
    <n v="1448.1179999999999"/>
  </r>
  <r>
    <x v="786"/>
    <x v="71"/>
    <x v="0"/>
    <s v="Boots"/>
    <x v="5"/>
    <x v="0"/>
    <x v="1"/>
    <n v="158.35"/>
    <n v="18"/>
    <n v="2850.3"/>
    <x v="3"/>
    <s v="High"/>
    <s v="Good"/>
    <n v="1241.2800000000002"/>
    <n v="0.1"/>
    <n v="2565.2700000000004"/>
  </r>
  <r>
    <x v="787"/>
    <x v="301"/>
    <x v="1"/>
    <s v="Formal"/>
    <x v="5"/>
    <x v="0"/>
    <x v="1"/>
    <n v="118.19"/>
    <n v="7"/>
    <n v="827.33"/>
    <x v="0"/>
    <s v="Low"/>
    <s v="Average"/>
    <n v="-2022.9700000000003"/>
    <n v="0.1"/>
    <n v="744.59700000000009"/>
  </r>
  <r>
    <x v="788"/>
    <x v="330"/>
    <x v="1"/>
    <s v="Running"/>
    <x v="3"/>
    <x v="2"/>
    <x v="0"/>
    <n v="131.63999999999999"/>
    <n v="14"/>
    <n v="1842.96"/>
    <x v="8"/>
    <s v="Low"/>
    <s v="Good"/>
    <n v="1015.63"/>
    <n v="0.1"/>
    <n v="1658.664"/>
  </r>
  <r>
    <x v="789"/>
    <x v="331"/>
    <x v="1"/>
    <s v="Sports"/>
    <x v="5"/>
    <x v="1"/>
    <x v="0"/>
    <n v="238.4"/>
    <n v="15"/>
    <n v="3576"/>
    <x v="11"/>
    <s v="High"/>
    <s v="Excellent"/>
    <n v="1733.04"/>
    <n v="0.1"/>
    <n v="3218.4"/>
  </r>
  <r>
    <x v="790"/>
    <x v="36"/>
    <x v="4"/>
    <s v="Sneakers"/>
    <x v="5"/>
    <x v="5"/>
    <x v="0"/>
    <n v="63.74"/>
    <n v="6"/>
    <n v="382.44"/>
    <x v="11"/>
    <s v="Low"/>
    <s v="Low"/>
    <n v="-3193.56"/>
    <n v="0.1"/>
    <n v="344.19600000000003"/>
  </r>
  <r>
    <x v="791"/>
    <x v="113"/>
    <x v="5"/>
    <s v="Formal"/>
    <x v="3"/>
    <x v="6"/>
    <x v="2"/>
    <n v="158.97"/>
    <n v="14"/>
    <n v="2225.58"/>
    <x v="6"/>
    <s v="High"/>
    <s v="Good"/>
    <n v="1843.1399999999999"/>
    <n v="0.1"/>
    <n v="2003.0219999999999"/>
  </r>
  <r>
    <x v="792"/>
    <x v="15"/>
    <x v="5"/>
    <s v="Boots"/>
    <x v="5"/>
    <x v="5"/>
    <x v="0"/>
    <n v="141.30000000000001"/>
    <n v="1"/>
    <n v="141.30000000000001"/>
    <x v="7"/>
    <s v="Low"/>
    <s v="Low"/>
    <n v="-2084.2799999999997"/>
    <n v="0.1"/>
    <n v="127.17000000000002"/>
  </r>
  <r>
    <x v="793"/>
    <x v="174"/>
    <x v="0"/>
    <s v="Boots"/>
    <x v="1"/>
    <x v="1"/>
    <x v="1"/>
    <n v="164.52"/>
    <n v="20"/>
    <n v="3290.4"/>
    <x v="0"/>
    <s v="High"/>
    <s v="Excellent"/>
    <n v="3149.1"/>
    <n v="0.1"/>
    <n v="2961.36"/>
  </r>
  <r>
    <x v="794"/>
    <x v="50"/>
    <x v="2"/>
    <s v="Running"/>
    <x v="0"/>
    <x v="4"/>
    <x v="1"/>
    <n v="33.979999999999997"/>
    <n v="12"/>
    <n v="407.76"/>
    <x v="4"/>
    <s v="Low"/>
    <s v="Low"/>
    <n v="-2882.6400000000003"/>
    <n v="0.1"/>
    <n v="366.98399999999998"/>
  </r>
  <r>
    <x v="795"/>
    <x v="328"/>
    <x v="0"/>
    <s v="Sports"/>
    <x v="4"/>
    <x v="6"/>
    <x v="2"/>
    <n v="221.87"/>
    <n v="20"/>
    <n v="4437.3999999999996"/>
    <x v="7"/>
    <s v="High"/>
    <s v="Excellent"/>
    <n v="4029.6399999999994"/>
    <n v="0.1"/>
    <n v="3993.66"/>
  </r>
  <r>
    <x v="796"/>
    <x v="107"/>
    <x v="5"/>
    <s v="Casual"/>
    <x v="1"/>
    <x v="0"/>
    <x v="0"/>
    <n v="235.07"/>
    <n v="1"/>
    <n v="235.07"/>
    <x v="8"/>
    <s v="Low"/>
    <s v="Low"/>
    <n v="-4202.33"/>
    <n v="0.1"/>
    <n v="211.56299999999999"/>
  </r>
  <r>
    <x v="797"/>
    <x v="291"/>
    <x v="4"/>
    <s v="Boots"/>
    <x v="2"/>
    <x v="3"/>
    <x v="1"/>
    <n v="154.33000000000001"/>
    <n v="18"/>
    <n v="2777.94"/>
    <x v="5"/>
    <s v="High"/>
    <s v="Good"/>
    <n v="2542.87"/>
    <n v="0.1"/>
    <n v="2500.1460000000002"/>
  </r>
  <r>
    <x v="798"/>
    <x v="206"/>
    <x v="0"/>
    <s v="Sneakers"/>
    <x v="1"/>
    <x v="0"/>
    <x v="0"/>
    <n v="183.26"/>
    <n v="12"/>
    <n v="2199.12"/>
    <x v="0"/>
    <s v="High"/>
    <s v="Good"/>
    <n v="-578.82000000000016"/>
    <n v="0.1"/>
    <n v="1979.2079999999999"/>
  </r>
  <r>
    <x v="799"/>
    <x v="221"/>
    <x v="2"/>
    <s v="Sneakers"/>
    <x v="4"/>
    <x v="5"/>
    <x v="1"/>
    <n v="232.95"/>
    <n v="1"/>
    <n v="232.95"/>
    <x v="11"/>
    <s v="Low"/>
    <s v="Low"/>
    <n v="-1966.1699999999998"/>
    <n v="0.1"/>
    <n v="209.655"/>
  </r>
  <r>
    <x v="800"/>
    <x v="275"/>
    <x v="3"/>
    <s v="Boots"/>
    <x v="3"/>
    <x v="2"/>
    <x v="2"/>
    <n v="185.59"/>
    <n v="10"/>
    <n v="1855.9"/>
    <x v="4"/>
    <s v="Low"/>
    <s v="Good"/>
    <n v="1622.95"/>
    <n v="0.1"/>
    <n v="1670.3100000000002"/>
  </r>
  <r>
    <x v="801"/>
    <x v="99"/>
    <x v="1"/>
    <s v="Sneakers"/>
    <x v="2"/>
    <x v="0"/>
    <x v="0"/>
    <n v="63.56"/>
    <n v="14"/>
    <n v="889.84"/>
    <x v="10"/>
    <s v="Low"/>
    <s v="Average"/>
    <n v="-966.06000000000006"/>
    <n v="0.1"/>
    <n v="800.85599999999999"/>
  </r>
  <r>
    <x v="802"/>
    <x v="168"/>
    <x v="4"/>
    <s v="Casual"/>
    <x v="5"/>
    <x v="0"/>
    <x v="1"/>
    <n v="156.78"/>
    <n v="20"/>
    <n v="3135.6"/>
    <x v="10"/>
    <s v="High"/>
    <s v="Excellent"/>
    <n v="2245.7599999999998"/>
    <n v="0.1"/>
    <n v="2822.04"/>
  </r>
  <r>
    <x v="803"/>
    <x v="305"/>
    <x v="2"/>
    <s v="Formal"/>
    <x v="3"/>
    <x v="5"/>
    <x v="0"/>
    <n v="163.47999999999999"/>
    <n v="2"/>
    <n v="326.95999999999998"/>
    <x v="3"/>
    <s v="Low"/>
    <s v="Low"/>
    <n v="-2808.64"/>
    <n v="0.1"/>
    <n v="294.26400000000001"/>
  </r>
  <r>
    <x v="804"/>
    <x v="10"/>
    <x v="4"/>
    <s v="Running"/>
    <x v="2"/>
    <x v="2"/>
    <x v="1"/>
    <n v="123.31"/>
    <n v="3"/>
    <n v="369.93"/>
    <x v="6"/>
    <s v="Low"/>
    <s v="Low"/>
    <n v="42.970000000000027"/>
    <n v="0.1"/>
    <n v="332.93700000000001"/>
  </r>
  <r>
    <x v="805"/>
    <x v="43"/>
    <x v="4"/>
    <s v="Casual"/>
    <x v="3"/>
    <x v="2"/>
    <x v="0"/>
    <n v="192.02"/>
    <n v="11"/>
    <n v="2112.2199999999998"/>
    <x v="9"/>
    <s v="High"/>
    <s v="Good"/>
    <n v="1742.2899999999997"/>
    <n v="0.1"/>
    <n v="1900.9979999999998"/>
  </r>
  <r>
    <x v="806"/>
    <x v="210"/>
    <x v="2"/>
    <s v="Running"/>
    <x v="2"/>
    <x v="3"/>
    <x v="2"/>
    <n v="235.56"/>
    <n v="10"/>
    <n v="2355.6"/>
    <x v="4"/>
    <s v="High"/>
    <s v="Good"/>
    <n v="243.38000000000011"/>
    <n v="0.1"/>
    <n v="2120.04"/>
  </r>
  <r>
    <x v="807"/>
    <x v="230"/>
    <x v="2"/>
    <s v="Boots"/>
    <x v="0"/>
    <x v="2"/>
    <x v="1"/>
    <n v="233.63"/>
    <n v="11"/>
    <n v="2569.9299999999998"/>
    <x v="2"/>
    <s v="High"/>
    <s v="Good"/>
    <n v="214.32999999999993"/>
    <n v="0.1"/>
    <n v="2312.9369999999999"/>
  </r>
  <r>
    <x v="808"/>
    <x v="19"/>
    <x v="2"/>
    <s v="Sports"/>
    <x v="0"/>
    <x v="6"/>
    <x v="0"/>
    <n v="129.18"/>
    <n v="19"/>
    <n v="2454.42"/>
    <x v="1"/>
    <s v="High"/>
    <s v="Good"/>
    <n v="-115.50999999999976"/>
    <n v="0.1"/>
    <n v="2208.9780000000001"/>
  </r>
  <r>
    <x v="809"/>
    <x v="247"/>
    <x v="3"/>
    <s v="Casual"/>
    <x v="3"/>
    <x v="2"/>
    <x v="1"/>
    <n v="54.91"/>
    <n v="11"/>
    <n v="604.01"/>
    <x v="11"/>
    <s v="Low"/>
    <s v="Average"/>
    <n v="-1850.41"/>
    <n v="0.1"/>
    <n v="543.60900000000004"/>
  </r>
  <r>
    <x v="810"/>
    <x v="137"/>
    <x v="4"/>
    <s v="Casual"/>
    <x v="3"/>
    <x v="2"/>
    <x v="2"/>
    <n v="246.67"/>
    <n v="9"/>
    <n v="2220.0300000000002"/>
    <x v="2"/>
    <s v="High"/>
    <s v="Good"/>
    <n v="1616.0200000000002"/>
    <n v="0.1"/>
    <n v="1998.0270000000003"/>
  </r>
  <r>
    <x v="811"/>
    <x v="180"/>
    <x v="5"/>
    <s v="Sports"/>
    <x v="0"/>
    <x v="6"/>
    <x v="1"/>
    <n v="214.56"/>
    <n v="15"/>
    <n v="3218.4"/>
    <x v="9"/>
    <s v="High"/>
    <s v="Excellent"/>
    <n v="998.36999999999989"/>
    <n v="0.1"/>
    <n v="2896.56"/>
  </r>
  <r>
    <x v="812"/>
    <x v="178"/>
    <x v="1"/>
    <s v="Sneakers"/>
    <x v="5"/>
    <x v="4"/>
    <x v="2"/>
    <n v="57.43"/>
    <n v="6"/>
    <n v="344.58"/>
    <x v="4"/>
    <s v="Low"/>
    <s v="Low"/>
    <n v="-2873.82"/>
    <n v="0.1"/>
    <n v="310.12200000000001"/>
  </r>
  <r>
    <x v="813"/>
    <x v="1"/>
    <x v="3"/>
    <s v="Sports"/>
    <x v="3"/>
    <x v="2"/>
    <x v="0"/>
    <n v="232.59"/>
    <n v="18"/>
    <n v="4186.62"/>
    <x v="1"/>
    <s v="High"/>
    <s v="Excellent"/>
    <n v="3842.04"/>
    <n v="0.1"/>
    <n v="3767.9580000000001"/>
  </r>
  <r>
    <x v="814"/>
    <x v="59"/>
    <x v="2"/>
    <s v="Boots"/>
    <x v="5"/>
    <x v="4"/>
    <x v="1"/>
    <n v="221.38"/>
    <n v="1"/>
    <n v="221.38"/>
    <x v="4"/>
    <s v="Low"/>
    <s v="Low"/>
    <n v="-3965.24"/>
    <n v="0.1"/>
    <n v="199.24199999999999"/>
  </r>
  <r>
    <x v="815"/>
    <x v="197"/>
    <x v="2"/>
    <s v="Casual"/>
    <x v="5"/>
    <x v="5"/>
    <x v="2"/>
    <n v="144.13999999999999"/>
    <n v="13"/>
    <n v="1873.82"/>
    <x v="3"/>
    <s v="Low"/>
    <s v="Good"/>
    <n v="1652.44"/>
    <n v="0.1"/>
    <n v="1686.4379999999999"/>
  </r>
  <r>
    <x v="816"/>
    <x v="258"/>
    <x v="5"/>
    <s v="Boots"/>
    <x v="2"/>
    <x v="3"/>
    <x v="2"/>
    <n v="160.08000000000001"/>
    <n v="18"/>
    <n v="2881.44"/>
    <x v="3"/>
    <s v="High"/>
    <s v="Good"/>
    <n v="1007.6200000000001"/>
    <n v="0.1"/>
    <n v="2593.2960000000003"/>
  </r>
  <r>
    <x v="817"/>
    <x v="217"/>
    <x v="1"/>
    <s v="Sports"/>
    <x v="2"/>
    <x v="6"/>
    <x v="1"/>
    <n v="117.78"/>
    <n v="19"/>
    <n v="2237.8200000000002"/>
    <x v="10"/>
    <s v="High"/>
    <s v="Good"/>
    <n v="-643.61999999999989"/>
    <n v="0.1"/>
    <n v="2014.0380000000002"/>
  </r>
  <r>
    <x v="818"/>
    <x v="332"/>
    <x v="5"/>
    <s v="Sports"/>
    <x v="1"/>
    <x v="1"/>
    <x v="1"/>
    <n v="42.05"/>
    <n v="3"/>
    <n v="126.15"/>
    <x v="9"/>
    <s v="Low"/>
    <s v="Low"/>
    <n v="-2111.67"/>
    <n v="0.1"/>
    <n v="113.53500000000001"/>
  </r>
  <r>
    <x v="819"/>
    <x v="219"/>
    <x v="1"/>
    <s v="Casual"/>
    <x v="1"/>
    <x v="0"/>
    <x v="2"/>
    <n v="103.74"/>
    <n v="20"/>
    <n v="2074.8000000000002"/>
    <x v="6"/>
    <s v="High"/>
    <s v="Good"/>
    <n v="1948.65"/>
    <n v="0.1"/>
    <n v="1867.3200000000002"/>
  </r>
  <r>
    <x v="820"/>
    <x v="5"/>
    <x v="2"/>
    <s v="Sneakers"/>
    <x v="3"/>
    <x v="4"/>
    <x v="0"/>
    <n v="206.63"/>
    <n v="6"/>
    <n v="1239.78"/>
    <x v="1"/>
    <s v="Low"/>
    <s v="Average"/>
    <n v="-835.02000000000021"/>
    <n v="0.1"/>
    <n v="1115.8019999999999"/>
  </r>
  <r>
    <x v="821"/>
    <x v="147"/>
    <x v="0"/>
    <s v="Casual"/>
    <x v="4"/>
    <x v="0"/>
    <x v="0"/>
    <n v="31.02"/>
    <n v="12"/>
    <n v="372.24"/>
    <x v="9"/>
    <s v="Low"/>
    <s v="Low"/>
    <n v="-867.54"/>
    <n v="0.1"/>
    <n v="335.01600000000002"/>
  </r>
  <r>
    <x v="822"/>
    <x v="49"/>
    <x v="3"/>
    <s v="Running"/>
    <x v="3"/>
    <x v="0"/>
    <x v="1"/>
    <n v="103.37"/>
    <n v="12"/>
    <n v="1240.44"/>
    <x v="6"/>
    <s v="Low"/>
    <s v="Average"/>
    <n v="868.2"/>
    <n v="0.1"/>
    <n v="1116.3960000000002"/>
  </r>
  <r>
    <x v="823"/>
    <x v="280"/>
    <x v="5"/>
    <s v="Formal"/>
    <x v="5"/>
    <x v="1"/>
    <x v="1"/>
    <n v="117.6"/>
    <n v="13"/>
    <n v="1528.8"/>
    <x v="5"/>
    <s v="Low"/>
    <s v="Good"/>
    <n v="288.3599999999999"/>
    <n v="0.1"/>
    <n v="1375.92"/>
  </r>
  <r>
    <x v="824"/>
    <x v="198"/>
    <x v="1"/>
    <s v="Sneakers"/>
    <x v="3"/>
    <x v="4"/>
    <x v="2"/>
    <n v="148.22999999999999"/>
    <n v="4"/>
    <n v="592.91999999999996"/>
    <x v="7"/>
    <s v="Low"/>
    <s v="Average"/>
    <n v="-935.88"/>
    <n v="0.1"/>
    <n v="533.62799999999993"/>
  </r>
  <r>
    <x v="825"/>
    <x v="17"/>
    <x v="2"/>
    <s v="Sneakers"/>
    <x v="2"/>
    <x v="6"/>
    <x v="1"/>
    <n v="232.37"/>
    <n v="19"/>
    <n v="4415.03"/>
    <x v="6"/>
    <s v="High"/>
    <s v="Excellent"/>
    <n v="3822.1099999999997"/>
    <n v="0.1"/>
    <n v="3973.527"/>
  </r>
  <r>
    <x v="826"/>
    <x v="8"/>
    <x v="2"/>
    <s v="Boots"/>
    <x v="5"/>
    <x v="5"/>
    <x v="2"/>
    <n v="106.2"/>
    <n v="12"/>
    <n v="1274.4000000000001"/>
    <x v="5"/>
    <s v="Low"/>
    <s v="Average"/>
    <n v="-3140.6299999999997"/>
    <n v="0.1"/>
    <n v="1146.96"/>
  </r>
  <r>
    <x v="827"/>
    <x v="257"/>
    <x v="2"/>
    <s v="Formal"/>
    <x v="0"/>
    <x v="4"/>
    <x v="2"/>
    <n v="106.33"/>
    <n v="8"/>
    <n v="850.64"/>
    <x v="5"/>
    <s v="Low"/>
    <s v="Average"/>
    <n v="-423.7600000000001"/>
    <n v="0.1"/>
    <n v="765.57600000000002"/>
  </r>
  <r>
    <x v="828"/>
    <x v="43"/>
    <x v="2"/>
    <s v="Running"/>
    <x v="1"/>
    <x v="0"/>
    <x v="2"/>
    <n v="192.25"/>
    <n v="16"/>
    <n v="3076"/>
    <x v="9"/>
    <s v="High"/>
    <s v="Excellent"/>
    <n v="2225.36"/>
    <n v="0.1"/>
    <n v="2768.4"/>
  </r>
  <r>
    <x v="829"/>
    <x v="96"/>
    <x v="0"/>
    <s v="Sneakers"/>
    <x v="3"/>
    <x v="3"/>
    <x v="0"/>
    <n v="129.49"/>
    <n v="8"/>
    <n v="1035.92"/>
    <x v="1"/>
    <s v="Low"/>
    <s v="Average"/>
    <n v="-2040.08"/>
    <n v="0.1"/>
    <n v="932.32800000000009"/>
  </r>
  <r>
    <x v="830"/>
    <x v="132"/>
    <x v="3"/>
    <s v="Sports"/>
    <x v="1"/>
    <x v="2"/>
    <x v="0"/>
    <n v="79.41"/>
    <n v="6"/>
    <n v="476.46"/>
    <x v="1"/>
    <s v="Low"/>
    <s v="Low"/>
    <n v="-559.46"/>
    <n v="0.1"/>
    <n v="428.81399999999996"/>
  </r>
  <r>
    <x v="831"/>
    <x v="107"/>
    <x v="5"/>
    <s v="Sports"/>
    <x v="3"/>
    <x v="1"/>
    <x v="2"/>
    <n v="129.54"/>
    <n v="8"/>
    <n v="1036.32"/>
    <x v="8"/>
    <s v="Low"/>
    <s v="Average"/>
    <n v="559.8599999999999"/>
    <n v="0.1"/>
    <n v="932.68799999999999"/>
  </r>
  <r>
    <x v="832"/>
    <x v="151"/>
    <x v="5"/>
    <s v="Casual"/>
    <x v="1"/>
    <x v="0"/>
    <x v="1"/>
    <n v="60.99"/>
    <n v="16"/>
    <n v="975.84"/>
    <x v="8"/>
    <s v="Low"/>
    <s v="Average"/>
    <n v="-60.479999999999905"/>
    <n v="0.1"/>
    <n v="878.25600000000009"/>
  </r>
  <r>
    <x v="833"/>
    <x v="148"/>
    <x v="3"/>
    <s v="Running"/>
    <x v="2"/>
    <x v="5"/>
    <x v="1"/>
    <n v="68.81"/>
    <n v="1"/>
    <n v="68.81"/>
    <x v="5"/>
    <s v="Low"/>
    <s v="Low"/>
    <n v="-907.03"/>
    <n v="0.1"/>
    <n v="61.929000000000002"/>
  </r>
  <r>
    <x v="834"/>
    <x v="216"/>
    <x v="1"/>
    <s v="Sneakers"/>
    <x v="5"/>
    <x v="5"/>
    <x v="0"/>
    <n v="139.63999999999999"/>
    <n v="5"/>
    <n v="698.2"/>
    <x v="1"/>
    <s v="Low"/>
    <s v="Average"/>
    <n v="629.3900000000001"/>
    <n v="0.1"/>
    <n v="628.38000000000011"/>
  </r>
  <r>
    <x v="835"/>
    <x v="269"/>
    <x v="4"/>
    <s v="Casual"/>
    <x v="1"/>
    <x v="6"/>
    <x v="1"/>
    <n v="122.16"/>
    <n v="6"/>
    <n v="732.96"/>
    <x v="11"/>
    <s v="Low"/>
    <s v="Average"/>
    <n v="34.759999999999991"/>
    <n v="0.1"/>
    <n v="659.6640000000001"/>
  </r>
  <r>
    <x v="836"/>
    <x v="127"/>
    <x v="1"/>
    <s v="Boots"/>
    <x v="3"/>
    <x v="4"/>
    <x v="2"/>
    <n v="231.27"/>
    <n v="1"/>
    <n v="231.27"/>
    <x v="3"/>
    <s v="Low"/>
    <s v="Low"/>
    <n v="-501.69000000000005"/>
    <n v="0.1"/>
    <n v="208.143"/>
  </r>
  <r>
    <x v="837"/>
    <x v="275"/>
    <x v="5"/>
    <s v="Sneakers"/>
    <x v="4"/>
    <x v="4"/>
    <x v="2"/>
    <n v="109.73"/>
    <n v="7"/>
    <n v="768.11"/>
    <x v="4"/>
    <s v="Low"/>
    <s v="Average"/>
    <n v="536.84"/>
    <n v="0.1"/>
    <n v="691.29899999999998"/>
  </r>
  <r>
    <x v="838"/>
    <x v="154"/>
    <x v="5"/>
    <s v="Sneakers"/>
    <x v="2"/>
    <x v="4"/>
    <x v="1"/>
    <n v="157.72999999999999"/>
    <n v="8"/>
    <n v="1261.8399999999999"/>
    <x v="1"/>
    <s v="Low"/>
    <s v="Average"/>
    <n v="493.7299999999999"/>
    <n v="0.1"/>
    <n v="1135.6559999999999"/>
  </r>
  <r>
    <x v="839"/>
    <x v="38"/>
    <x v="1"/>
    <s v="Sneakers"/>
    <x v="0"/>
    <x v="0"/>
    <x v="1"/>
    <n v="169.1"/>
    <n v="20"/>
    <n v="3382"/>
    <x v="10"/>
    <s v="High"/>
    <s v="Excellent"/>
    <n v="2120.16"/>
    <n v="0.1"/>
    <n v="3043.8"/>
  </r>
  <r>
    <x v="840"/>
    <x v="185"/>
    <x v="5"/>
    <s v="Sneakers"/>
    <x v="1"/>
    <x v="1"/>
    <x v="0"/>
    <n v="32.880000000000003"/>
    <n v="11"/>
    <n v="361.68"/>
    <x v="8"/>
    <s v="Low"/>
    <s v="Low"/>
    <n v="-3020.32"/>
    <n v="0.1"/>
    <n v="325.512"/>
  </r>
  <r>
    <x v="841"/>
    <x v="8"/>
    <x v="3"/>
    <s v="Running"/>
    <x v="5"/>
    <x v="0"/>
    <x v="1"/>
    <n v="175.98"/>
    <n v="13"/>
    <n v="2287.7399999999998"/>
    <x v="5"/>
    <s v="High"/>
    <s v="Good"/>
    <n v="1926.0599999999997"/>
    <n v="0.1"/>
    <n v="2058.9659999999999"/>
  </r>
  <r>
    <x v="842"/>
    <x v="333"/>
    <x v="3"/>
    <s v="Sneakers"/>
    <x v="5"/>
    <x v="0"/>
    <x v="2"/>
    <n v="69.17"/>
    <n v="14"/>
    <n v="968.38"/>
    <x v="9"/>
    <s v="Low"/>
    <s v="Average"/>
    <n v="-1319.3599999999997"/>
    <n v="0.1"/>
    <n v="871.54200000000003"/>
  </r>
  <r>
    <x v="843"/>
    <x v="253"/>
    <x v="0"/>
    <s v="Sneakers"/>
    <x v="1"/>
    <x v="4"/>
    <x v="0"/>
    <n v="241.44"/>
    <n v="20"/>
    <n v="4828.8"/>
    <x v="0"/>
    <s v="High"/>
    <s v="Excellent"/>
    <n v="3860.42"/>
    <n v="0.1"/>
    <n v="4345.92"/>
  </r>
  <r>
    <x v="844"/>
    <x v="143"/>
    <x v="1"/>
    <s v="Casual"/>
    <x v="1"/>
    <x v="5"/>
    <x v="0"/>
    <n v="62.71"/>
    <n v="16"/>
    <n v="1003.36"/>
    <x v="4"/>
    <s v="Low"/>
    <s v="Average"/>
    <n v="-3825.44"/>
    <n v="0.1"/>
    <n v="903.024"/>
  </r>
  <r>
    <x v="845"/>
    <x v="67"/>
    <x v="2"/>
    <s v="Formal"/>
    <x v="0"/>
    <x v="4"/>
    <x v="0"/>
    <n v="121.22"/>
    <n v="14"/>
    <n v="1697.08"/>
    <x v="8"/>
    <s v="Low"/>
    <s v="Good"/>
    <n v="693.71999999999991"/>
    <n v="0.1"/>
    <n v="1527.3720000000001"/>
  </r>
  <r>
    <x v="846"/>
    <x v="124"/>
    <x v="5"/>
    <s v="Casual"/>
    <x v="4"/>
    <x v="4"/>
    <x v="2"/>
    <n v="48.78"/>
    <n v="17"/>
    <n v="829.26"/>
    <x v="8"/>
    <s v="Low"/>
    <s v="Average"/>
    <n v="-867.81999999999994"/>
    <n v="0.1"/>
    <n v="746.33400000000006"/>
  </r>
  <r>
    <x v="847"/>
    <x v="101"/>
    <x v="1"/>
    <s v="Boots"/>
    <x v="1"/>
    <x v="1"/>
    <x v="2"/>
    <n v="249.31"/>
    <n v="19"/>
    <n v="4736.8900000000003"/>
    <x v="7"/>
    <s v="High"/>
    <s v="Excellent"/>
    <n v="3907.63"/>
    <n v="0.1"/>
    <n v="4263.201"/>
  </r>
  <r>
    <x v="848"/>
    <x v="296"/>
    <x v="5"/>
    <s v="Casual"/>
    <x v="5"/>
    <x v="3"/>
    <x v="1"/>
    <n v="140.47999999999999"/>
    <n v="9"/>
    <n v="1264.32"/>
    <x v="1"/>
    <s v="Low"/>
    <s v="Average"/>
    <n v="-3472.5700000000006"/>
    <n v="0.1"/>
    <n v="1137.8879999999999"/>
  </r>
  <r>
    <x v="849"/>
    <x v="258"/>
    <x v="4"/>
    <s v="Casual"/>
    <x v="5"/>
    <x v="2"/>
    <x v="1"/>
    <n v="160.97999999999999"/>
    <n v="14"/>
    <n v="2253.7199999999998"/>
    <x v="3"/>
    <s v="High"/>
    <s v="Good"/>
    <n v="989.39999999999986"/>
    <n v="0.1"/>
    <n v="2028.348"/>
  </r>
  <r>
    <x v="850"/>
    <x v="94"/>
    <x v="2"/>
    <s v="Running"/>
    <x v="1"/>
    <x v="1"/>
    <x v="2"/>
    <n v="44.76"/>
    <n v="19"/>
    <n v="850.44"/>
    <x v="11"/>
    <s v="Low"/>
    <s v="Average"/>
    <n v="-1403.2799999999997"/>
    <n v="0.1"/>
    <n v="765.39600000000007"/>
  </r>
  <r>
    <x v="851"/>
    <x v="208"/>
    <x v="1"/>
    <s v="Sports"/>
    <x v="4"/>
    <x v="3"/>
    <x v="0"/>
    <n v="194.99"/>
    <n v="7"/>
    <n v="1364.93"/>
    <x v="8"/>
    <s v="Low"/>
    <s v="Average"/>
    <n v="514.49"/>
    <n v="0.1"/>
    <n v="1228.4370000000001"/>
  </r>
  <r>
    <x v="852"/>
    <x v="334"/>
    <x v="1"/>
    <s v="Sneakers"/>
    <x v="0"/>
    <x v="3"/>
    <x v="1"/>
    <n v="76.180000000000007"/>
    <n v="14"/>
    <n v="1066.52"/>
    <x v="1"/>
    <s v="Low"/>
    <s v="Average"/>
    <n v="-298.41000000000008"/>
    <n v="0.1"/>
    <n v="959.86800000000005"/>
  </r>
  <r>
    <x v="853"/>
    <x v="2"/>
    <x v="4"/>
    <s v="Sneakers"/>
    <x v="0"/>
    <x v="2"/>
    <x v="2"/>
    <n v="227.57"/>
    <n v="19"/>
    <n v="4323.83"/>
    <x v="2"/>
    <s v="High"/>
    <s v="Excellent"/>
    <n v="3257.31"/>
    <n v="0.1"/>
    <n v="3891.4470000000001"/>
  </r>
  <r>
    <x v="854"/>
    <x v="141"/>
    <x v="2"/>
    <s v="Sneakers"/>
    <x v="4"/>
    <x v="0"/>
    <x v="2"/>
    <n v="75.13"/>
    <n v="14"/>
    <n v="1051.82"/>
    <x v="10"/>
    <s v="Low"/>
    <s v="Average"/>
    <n v="-3272.01"/>
    <n v="0.1"/>
    <n v="946.63799999999992"/>
  </r>
  <r>
    <x v="855"/>
    <x v="62"/>
    <x v="5"/>
    <s v="Sports"/>
    <x v="0"/>
    <x v="5"/>
    <x v="2"/>
    <n v="71.95"/>
    <n v="18"/>
    <n v="1295.0999999999999"/>
    <x v="3"/>
    <s v="Low"/>
    <s v="Average"/>
    <n v="243.27999999999997"/>
    <n v="0.1"/>
    <n v="1165.5899999999999"/>
  </r>
  <r>
    <x v="856"/>
    <x v="218"/>
    <x v="1"/>
    <s v="Casual"/>
    <x v="3"/>
    <x v="1"/>
    <x v="1"/>
    <n v="38.04"/>
    <n v="13"/>
    <n v="494.52"/>
    <x v="8"/>
    <s v="Low"/>
    <s v="Low"/>
    <n v="-800.57999999999993"/>
    <n v="0.1"/>
    <n v="445.06799999999998"/>
  </r>
  <r>
    <x v="857"/>
    <x v="335"/>
    <x v="1"/>
    <s v="Casual"/>
    <x v="5"/>
    <x v="0"/>
    <x v="1"/>
    <n v="133.85"/>
    <n v="15"/>
    <n v="2007.75"/>
    <x v="10"/>
    <s v="High"/>
    <s v="Good"/>
    <n v="1513.23"/>
    <n v="0.1"/>
    <n v="1806.9750000000001"/>
  </r>
  <r>
    <x v="858"/>
    <x v="188"/>
    <x v="2"/>
    <s v="Sneakers"/>
    <x v="3"/>
    <x v="2"/>
    <x v="1"/>
    <n v="154.27000000000001"/>
    <n v="11"/>
    <n v="1696.97"/>
    <x v="5"/>
    <s v="Low"/>
    <s v="Good"/>
    <n v="-310.77999999999997"/>
    <n v="0.1"/>
    <n v="1527.2730000000001"/>
  </r>
  <r>
    <x v="859"/>
    <x v="126"/>
    <x v="5"/>
    <s v="Boots"/>
    <x v="5"/>
    <x v="4"/>
    <x v="0"/>
    <n v="44.46"/>
    <n v="6"/>
    <n v="266.76"/>
    <x v="11"/>
    <s v="Low"/>
    <s v="Low"/>
    <n v="-1430.21"/>
    <n v="0.1"/>
    <n v="240.084"/>
  </r>
  <r>
    <x v="860"/>
    <x v="153"/>
    <x v="2"/>
    <s v="Formal"/>
    <x v="5"/>
    <x v="1"/>
    <x v="2"/>
    <n v="200.62"/>
    <n v="16"/>
    <n v="3209.92"/>
    <x v="1"/>
    <s v="High"/>
    <s v="Excellent"/>
    <n v="2943.16"/>
    <n v="0.1"/>
    <n v="2888.9280000000003"/>
  </r>
  <r>
    <x v="861"/>
    <x v="168"/>
    <x v="0"/>
    <s v="Sneakers"/>
    <x v="5"/>
    <x v="2"/>
    <x v="2"/>
    <n v="129.72"/>
    <n v="12"/>
    <n v="1556.64"/>
    <x v="10"/>
    <s v="Low"/>
    <s v="Good"/>
    <n v="-1653.28"/>
    <n v="0.1"/>
    <n v="1400.9760000000001"/>
  </r>
  <r>
    <x v="862"/>
    <x v="188"/>
    <x v="1"/>
    <s v="Sneakers"/>
    <x v="0"/>
    <x v="2"/>
    <x v="1"/>
    <n v="145.37"/>
    <n v="20"/>
    <n v="2907.4"/>
    <x v="5"/>
    <s v="High"/>
    <s v="Good"/>
    <n v="1350.76"/>
    <n v="0.1"/>
    <n v="2616.6600000000003"/>
  </r>
  <r>
    <x v="863"/>
    <x v="317"/>
    <x v="1"/>
    <s v="Formal"/>
    <x v="4"/>
    <x v="1"/>
    <x v="0"/>
    <n v="126.97"/>
    <n v="6"/>
    <n v="761.82"/>
    <x v="11"/>
    <s v="Low"/>
    <s v="Average"/>
    <n v="-2145.58"/>
    <n v="0.1"/>
    <n v="685.63800000000003"/>
  </r>
  <r>
    <x v="864"/>
    <x v="139"/>
    <x v="4"/>
    <s v="Casual"/>
    <x v="5"/>
    <x v="4"/>
    <x v="1"/>
    <n v="118.17"/>
    <n v="17"/>
    <n v="2008.89"/>
    <x v="8"/>
    <s v="High"/>
    <s v="Good"/>
    <n v="1247.0700000000002"/>
    <n v="0.1"/>
    <n v="1808.0010000000002"/>
  </r>
  <r>
    <x v="865"/>
    <x v="332"/>
    <x v="1"/>
    <s v="Casual"/>
    <x v="1"/>
    <x v="0"/>
    <x v="1"/>
    <n v="153.12"/>
    <n v="17"/>
    <n v="2603.04"/>
    <x v="9"/>
    <s v="High"/>
    <s v="Good"/>
    <n v="594.14999999999986"/>
    <n v="0.1"/>
    <n v="2342.7359999999999"/>
  </r>
  <r>
    <x v="866"/>
    <x v="319"/>
    <x v="3"/>
    <s v="Boots"/>
    <x v="5"/>
    <x v="0"/>
    <x v="0"/>
    <n v="64.150000000000006"/>
    <n v="12"/>
    <n v="769.8"/>
    <x v="11"/>
    <s v="Low"/>
    <s v="Average"/>
    <n v="-1833.24"/>
    <n v="0.1"/>
    <n v="692.81999999999994"/>
  </r>
  <r>
    <x v="867"/>
    <x v="173"/>
    <x v="4"/>
    <s v="Boots"/>
    <x v="4"/>
    <x v="6"/>
    <x v="1"/>
    <n v="70.02"/>
    <n v="13"/>
    <n v="910.26"/>
    <x v="6"/>
    <s v="Low"/>
    <s v="Average"/>
    <n v="140.46000000000004"/>
    <n v="0.1"/>
    <n v="819.23400000000004"/>
  </r>
  <r>
    <x v="868"/>
    <x v="227"/>
    <x v="0"/>
    <s v="Boots"/>
    <x v="3"/>
    <x v="1"/>
    <x v="0"/>
    <n v="219.59"/>
    <n v="17"/>
    <n v="3733.03"/>
    <x v="10"/>
    <s v="High"/>
    <s v="Excellent"/>
    <n v="2822.7700000000004"/>
    <n v="0.1"/>
    <n v="3359.7270000000003"/>
  </r>
  <r>
    <x v="869"/>
    <x v="238"/>
    <x v="1"/>
    <s v="Sneakers"/>
    <x v="1"/>
    <x v="3"/>
    <x v="2"/>
    <n v="238.15"/>
    <n v="10"/>
    <n v="2381.5"/>
    <x v="3"/>
    <s v="High"/>
    <s v="Good"/>
    <n v="-1351.5300000000002"/>
    <n v="0.1"/>
    <n v="2143.35"/>
  </r>
  <r>
    <x v="870"/>
    <x v="173"/>
    <x v="2"/>
    <s v="Casual"/>
    <x v="4"/>
    <x v="6"/>
    <x v="1"/>
    <n v="112.13"/>
    <n v="8"/>
    <n v="897.04"/>
    <x v="6"/>
    <s v="Low"/>
    <s v="Average"/>
    <n v="-1484.46"/>
    <n v="0.1"/>
    <n v="807.33600000000001"/>
  </r>
  <r>
    <x v="871"/>
    <x v="247"/>
    <x v="3"/>
    <s v="Formal"/>
    <x v="1"/>
    <x v="1"/>
    <x v="1"/>
    <n v="89.56"/>
    <n v="9"/>
    <n v="806.04"/>
    <x v="11"/>
    <s v="Low"/>
    <s v="Average"/>
    <n v="-91"/>
    <n v="0.1"/>
    <n v="725.43600000000004"/>
  </r>
  <r>
    <x v="872"/>
    <x v="50"/>
    <x v="4"/>
    <s v="Sports"/>
    <x v="5"/>
    <x v="4"/>
    <x v="1"/>
    <n v="171.68"/>
    <n v="17"/>
    <n v="2918.56"/>
    <x v="4"/>
    <s v="High"/>
    <s v="Good"/>
    <n v="2112.52"/>
    <n v="0.1"/>
    <n v="2626.7040000000002"/>
  </r>
  <r>
    <x v="873"/>
    <x v="163"/>
    <x v="2"/>
    <s v="Sports"/>
    <x v="3"/>
    <x v="6"/>
    <x v="2"/>
    <n v="119.92"/>
    <n v="18"/>
    <n v="2158.56"/>
    <x v="6"/>
    <s v="High"/>
    <s v="Good"/>
    <n v="-760"/>
    <n v="0.1"/>
    <n v="1942.704"/>
  </r>
  <r>
    <x v="874"/>
    <x v="127"/>
    <x v="3"/>
    <s v="Sports"/>
    <x v="4"/>
    <x v="2"/>
    <x v="2"/>
    <n v="35.58"/>
    <n v="16"/>
    <n v="569.28"/>
    <x v="3"/>
    <s v="Low"/>
    <s v="Average"/>
    <n v="-1589.28"/>
    <n v="0.1"/>
    <n v="512.35199999999998"/>
  </r>
  <r>
    <x v="875"/>
    <x v="135"/>
    <x v="5"/>
    <s v="Running"/>
    <x v="0"/>
    <x v="1"/>
    <x v="2"/>
    <n v="64.349999999999994"/>
    <n v="1"/>
    <n v="64.349999999999994"/>
    <x v="3"/>
    <s v="Low"/>
    <s v="Low"/>
    <n v="-504.92999999999995"/>
    <n v="0.1"/>
    <n v="57.914999999999999"/>
  </r>
  <r>
    <x v="876"/>
    <x v="79"/>
    <x v="1"/>
    <s v="Boots"/>
    <x v="2"/>
    <x v="4"/>
    <x v="2"/>
    <n v="187.51"/>
    <n v="8"/>
    <n v="1500.08"/>
    <x v="0"/>
    <s v="Low"/>
    <s v="Good"/>
    <n v="1435.73"/>
    <n v="0.1"/>
    <n v="1350.0719999999999"/>
  </r>
  <r>
    <x v="877"/>
    <x v="184"/>
    <x v="2"/>
    <s v="Sneakers"/>
    <x v="5"/>
    <x v="2"/>
    <x v="2"/>
    <n v="174.96"/>
    <n v="12"/>
    <n v="2099.52"/>
    <x v="5"/>
    <s v="High"/>
    <s v="Good"/>
    <n v="599.44000000000005"/>
    <n v="0.1"/>
    <n v="1889.568"/>
  </r>
  <r>
    <x v="878"/>
    <x v="37"/>
    <x v="0"/>
    <s v="Formal"/>
    <x v="3"/>
    <x v="2"/>
    <x v="2"/>
    <n v="35.96"/>
    <n v="10"/>
    <n v="359.6"/>
    <x v="6"/>
    <s v="Low"/>
    <s v="Low"/>
    <n v="-1739.92"/>
    <n v="0.1"/>
    <n v="323.64000000000004"/>
  </r>
  <r>
    <x v="879"/>
    <x v="59"/>
    <x v="3"/>
    <s v="Formal"/>
    <x v="0"/>
    <x v="3"/>
    <x v="0"/>
    <n v="78.83"/>
    <n v="18"/>
    <n v="1418.94"/>
    <x v="4"/>
    <s v="Low"/>
    <s v="Average"/>
    <n v="1059.3400000000001"/>
    <n v="0.1"/>
    <n v="1277.046"/>
  </r>
  <r>
    <x v="880"/>
    <x v="125"/>
    <x v="3"/>
    <s v="Boots"/>
    <x v="3"/>
    <x v="0"/>
    <x v="2"/>
    <n v="80.84"/>
    <n v="9"/>
    <n v="727.56"/>
    <x v="3"/>
    <s v="Low"/>
    <s v="Average"/>
    <n v="-691.38000000000011"/>
    <n v="0.1"/>
    <n v="654.80399999999997"/>
  </r>
  <r>
    <x v="881"/>
    <x v="227"/>
    <x v="1"/>
    <s v="Casual"/>
    <x v="0"/>
    <x v="0"/>
    <x v="0"/>
    <n v="177.82"/>
    <n v="8"/>
    <n v="1422.56"/>
    <x v="10"/>
    <s v="Low"/>
    <s v="Average"/>
    <n v="695"/>
    <n v="0.1"/>
    <n v="1280.3040000000001"/>
  </r>
  <r>
    <x v="882"/>
    <x v="298"/>
    <x v="2"/>
    <s v="Sports"/>
    <x v="2"/>
    <x v="4"/>
    <x v="0"/>
    <n v="34.340000000000003"/>
    <n v="8"/>
    <n v="274.72000000000003"/>
    <x v="10"/>
    <s v="Low"/>
    <s v="Low"/>
    <n v="-1147.8399999999999"/>
    <n v="0.1"/>
    <n v="247.24800000000002"/>
  </r>
  <r>
    <x v="883"/>
    <x v="336"/>
    <x v="1"/>
    <s v="Boots"/>
    <x v="4"/>
    <x v="5"/>
    <x v="0"/>
    <n v="52.9"/>
    <n v="3"/>
    <n v="158.69999999999999"/>
    <x v="1"/>
    <s v="Low"/>
    <s v="Low"/>
    <n v="-116.02000000000004"/>
    <n v="0.1"/>
    <n v="142.82999999999998"/>
  </r>
  <r>
    <x v="884"/>
    <x v="44"/>
    <x v="5"/>
    <s v="Sports"/>
    <x v="1"/>
    <x v="3"/>
    <x v="2"/>
    <n v="205.98"/>
    <n v="2"/>
    <n v="411.96"/>
    <x v="3"/>
    <s v="Low"/>
    <s v="Low"/>
    <n v="253.26"/>
    <n v="0.1"/>
    <n v="370.76400000000001"/>
  </r>
  <r>
    <x v="885"/>
    <x v="260"/>
    <x v="5"/>
    <s v="Casual"/>
    <x v="1"/>
    <x v="3"/>
    <x v="2"/>
    <n v="69.28"/>
    <n v="9"/>
    <n v="623.52"/>
    <x v="3"/>
    <s v="Low"/>
    <s v="Average"/>
    <n v="211.56"/>
    <n v="0.1"/>
    <n v="561.16800000000001"/>
  </r>
  <r>
    <x v="886"/>
    <x v="168"/>
    <x v="3"/>
    <s v="Running"/>
    <x v="1"/>
    <x v="4"/>
    <x v="2"/>
    <n v="173.6"/>
    <n v="19"/>
    <n v="3298.4"/>
    <x v="10"/>
    <s v="High"/>
    <s v="Excellent"/>
    <n v="2674.88"/>
    <n v="0.1"/>
    <n v="2968.56"/>
  </r>
  <r>
    <x v="887"/>
    <x v="45"/>
    <x v="0"/>
    <s v="Sneakers"/>
    <x v="0"/>
    <x v="6"/>
    <x v="1"/>
    <n v="82.4"/>
    <n v="18"/>
    <n v="1483.2"/>
    <x v="9"/>
    <s v="Low"/>
    <s v="Average"/>
    <n v="-1815.2"/>
    <n v="0.1"/>
    <n v="1334.88"/>
  </r>
  <r>
    <x v="888"/>
    <x v="75"/>
    <x v="0"/>
    <s v="Boots"/>
    <x v="1"/>
    <x v="6"/>
    <x v="2"/>
    <n v="51.88"/>
    <n v="15"/>
    <n v="778.2"/>
    <x v="1"/>
    <s v="Low"/>
    <s v="Average"/>
    <n v="-705"/>
    <n v="0.1"/>
    <n v="700.38000000000011"/>
  </r>
  <r>
    <x v="889"/>
    <x v="83"/>
    <x v="0"/>
    <s v="Boots"/>
    <x v="2"/>
    <x v="6"/>
    <x v="1"/>
    <n v="83.5"/>
    <n v="1"/>
    <n v="83.5"/>
    <x v="8"/>
    <s v="Low"/>
    <s v="Low"/>
    <n v="-694.7"/>
    <n v="0.1"/>
    <n v="75.150000000000006"/>
  </r>
  <r>
    <x v="890"/>
    <x v="210"/>
    <x v="4"/>
    <s v="Sneakers"/>
    <x v="0"/>
    <x v="0"/>
    <x v="1"/>
    <n v="188.9"/>
    <n v="11"/>
    <n v="2077.9"/>
    <x v="4"/>
    <s v="High"/>
    <s v="Good"/>
    <n v="1994.4"/>
    <n v="0.1"/>
    <n v="1870.1100000000001"/>
  </r>
  <r>
    <x v="891"/>
    <x v="17"/>
    <x v="4"/>
    <s v="Formal"/>
    <x v="1"/>
    <x v="3"/>
    <x v="2"/>
    <n v="218.25"/>
    <n v="8"/>
    <n v="1746"/>
    <x v="6"/>
    <s v="Low"/>
    <s v="Good"/>
    <n v="-331.90000000000009"/>
    <n v="0.1"/>
    <n v="1571.4"/>
  </r>
  <r>
    <x v="892"/>
    <x v="120"/>
    <x v="5"/>
    <s v="Casual"/>
    <x v="4"/>
    <x v="2"/>
    <x v="2"/>
    <n v="212.65"/>
    <n v="16"/>
    <n v="3402.4"/>
    <x v="10"/>
    <s v="High"/>
    <s v="Excellent"/>
    <n v="1656.4"/>
    <n v="0.1"/>
    <n v="3062.1600000000003"/>
  </r>
  <r>
    <x v="893"/>
    <x v="213"/>
    <x v="4"/>
    <s v="Formal"/>
    <x v="2"/>
    <x v="5"/>
    <x v="0"/>
    <n v="117.38"/>
    <n v="13"/>
    <n v="1525.94"/>
    <x v="5"/>
    <s v="Low"/>
    <s v="Good"/>
    <n v="-1876.46"/>
    <n v="0.1"/>
    <n v="1373.346"/>
  </r>
  <r>
    <x v="894"/>
    <x v="260"/>
    <x v="0"/>
    <s v="Boots"/>
    <x v="0"/>
    <x v="4"/>
    <x v="0"/>
    <n v="176.98"/>
    <n v="8"/>
    <n v="1415.84"/>
    <x v="3"/>
    <s v="Low"/>
    <s v="Average"/>
    <n v="-110.10000000000014"/>
    <n v="0.1"/>
    <n v="1274.2559999999999"/>
  </r>
  <r>
    <x v="895"/>
    <x v="327"/>
    <x v="5"/>
    <s v="Casual"/>
    <x v="2"/>
    <x v="4"/>
    <x v="1"/>
    <n v="75.099999999999994"/>
    <n v="14"/>
    <n v="1051.4000000000001"/>
    <x v="3"/>
    <s v="Low"/>
    <s v="Average"/>
    <n v="-364.43999999999983"/>
    <n v="0.1"/>
    <n v="946.2600000000001"/>
  </r>
  <r>
    <x v="896"/>
    <x v="132"/>
    <x v="0"/>
    <s v="Casual"/>
    <x v="4"/>
    <x v="6"/>
    <x v="0"/>
    <n v="94.49"/>
    <n v="16"/>
    <n v="1511.84"/>
    <x v="1"/>
    <s v="Low"/>
    <s v="Good"/>
    <n v="460.43999999999983"/>
    <n v="0.1"/>
    <n v="1360.6559999999999"/>
  </r>
  <r>
    <x v="897"/>
    <x v="301"/>
    <x v="2"/>
    <s v="Boots"/>
    <x v="0"/>
    <x v="4"/>
    <x v="2"/>
    <n v="227.19"/>
    <n v="17"/>
    <n v="3862.23"/>
    <x v="0"/>
    <s v="High"/>
    <s v="Excellent"/>
    <n v="2350.3900000000003"/>
    <n v="0.1"/>
    <n v="3476.0070000000001"/>
  </r>
  <r>
    <x v="898"/>
    <x v="157"/>
    <x v="2"/>
    <s v="Sneakers"/>
    <x v="5"/>
    <x v="6"/>
    <x v="0"/>
    <n v="32.86"/>
    <n v="9"/>
    <n v="295.74"/>
    <x v="7"/>
    <s v="Low"/>
    <s v="Low"/>
    <n v="-3566.49"/>
    <n v="0.1"/>
    <n v="266.166"/>
  </r>
  <r>
    <x v="899"/>
    <x v="29"/>
    <x v="0"/>
    <s v="Casual"/>
    <x v="0"/>
    <x v="6"/>
    <x v="1"/>
    <n v="48.81"/>
    <n v="6"/>
    <n v="292.86"/>
    <x v="8"/>
    <s v="Low"/>
    <s v="Low"/>
    <n v="-2.8799999999999955"/>
    <n v="0.1"/>
    <n v="263.57400000000001"/>
  </r>
  <r>
    <x v="900"/>
    <x v="35"/>
    <x v="1"/>
    <s v="Sports"/>
    <x v="0"/>
    <x v="3"/>
    <x v="2"/>
    <n v="75.73"/>
    <n v="15"/>
    <n v="1135.95"/>
    <x v="4"/>
    <s v="Low"/>
    <s v="Average"/>
    <n v="843.09"/>
    <n v="0.1"/>
    <n v="1022.355"/>
  </r>
  <r>
    <x v="901"/>
    <x v="62"/>
    <x v="4"/>
    <s v="Sports"/>
    <x v="5"/>
    <x v="6"/>
    <x v="0"/>
    <n v="35.840000000000003"/>
    <n v="18"/>
    <n v="645.12"/>
    <x v="3"/>
    <s v="Low"/>
    <s v="Average"/>
    <n v="-490.83000000000004"/>
    <n v="0.1"/>
    <n v="580.60800000000006"/>
  </r>
  <r>
    <x v="902"/>
    <x v="101"/>
    <x v="3"/>
    <s v="Sneakers"/>
    <x v="1"/>
    <x v="2"/>
    <x v="1"/>
    <n v="69.92"/>
    <n v="20"/>
    <n v="1398.4"/>
    <x v="7"/>
    <s v="Low"/>
    <s v="Average"/>
    <n v="753.28000000000009"/>
    <n v="0.1"/>
    <n v="1258.5600000000002"/>
  </r>
  <r>
    <x v="903"/>
    <x v="71"/>
    <x v="4"/>
    <s v="Sports"/>
    <x v="0"/>
    <x v="2"/>
    <x v="1"/>
    <n v="158.27000000000001"/>
    <n v="6"/>
    <n v="949.62"/>
    <x v="3"/>
    <s v="Low"/>
    <s v="Average"/>
    <n v="-448.78000000000009"/>
    <n v="0.1"/>
    <n v="854.65800000000002"/>
  </r>
  <r>
    <x v="904"/>
    <x v="43"/>
    <x v="0"/>
    <s v="Formal"/>
    <x v="1"/>
    <x v="3"/>
    <x v="2"/>
    <n v="122.71"/>
    <n v="15"/>
    <n v="1840.65"/>
    <x v="9"/>
    <s v="Low"/>
    <s v="Good"/>
    <n v="891.03000000000009"/>
    <n v="0.1"/>
    <n v="1656.585"/>
  </r>
  <r>
    <x v="905"/>
    <x v="199"/>
    <x v="3"/>
    <s v="Boots"/>
    <x v="0"/>
    <x v="6"/>
    <x v="1"/>
    <n v="226.39"/>
    <n v="5"/>
    <n v="1131.95"/>
    <x v="0"/>
    <s v="Low"/>
    <s v="Average"/>
    <n v="-708.7"/>
    <n v="0.1"/>
    <n v="1018.7550000000001"/>
  </r>
  <r>
    <x v="906"/>
    <x v="325"/>
    <x v="5"/>
    <s v="Running"/>
    <x v="5"/>
    <x v="0"/>
    <x v="2"/>
    <n v="209.84"/>
    <n v="19"/>
    <n v="3986.96"/>
    <x v="0"/>
    <s v="High"/>
    <s v="Excellent"/>
    <n v="2855.01"/>
    <n v="0.1"/>
    <n v="3588.2640000000001"/>
  </r>
  <r>
    <x v="907"/>
    <x v="65"/>
    <x v="4"/>
    <s v="Boots"/>
    <x v="0"/>
    <x v="2"/>
    <x v="2"/>
    <n v="105.2"/>
    <n v="11"/>
    <n v="1157.2"/>
    <x v="10"/>
    <s v="Low"/>
    <s v="Average"/>
    <n v="-2829.76"/>
    <n v="0.1"/>
    <n v="1041.48"/>
  </r>
  <r>
    <x v="908"/>
    <x v="7"/>
    <x v="4"/>
    <s v="Formal"/>
    <x v="0"/>
    <x v="2"/>
    <x v="1"/>
    <n v="87.07"/>
    <n v="13"/>
    <n v="1131.9100000000001"/>
    <x v="0"/>
    <s v="Low"/>
    <s v="Average"/>
    <n v="-25.289999999999964"/>
    <n v="0.1"/>
    <n v="1018.7190000000001"/>
  </r>
  <r>
    <x v="909"/>
    <x v="282"/>
    <x v="5"/>
    <s v="Casual"/>
    <x v="2"/>
    <x v="4"/>
    <x v="0"/>
    <n v="113.53"/>
    <n v="15"/>
    <n v="1702.95"/>
    <x v="9"/>
    <s v="Low"/>
    <s v="Good"/>
    <n v="571.04"/>
    <n v="0.1"/>
    <n v="1532.655"/>
  </r>
  <r>
    <x v="910"/>
    <x v="27"/>
    <x v="1"/>
    <s v="Sports"/>
    <x v="3"/>
    <x v="2"/>
    <x v="1"/>
    <n v="159.86000000000001"/>
    <n v="8"/>
    <n v="1278.8800000000001"/>
    <x v="1"/>
    <s v="Low"/>
    <s v="Average"/>
    <n v="-424.06999999999994"/>
    <n v="0.1"/>
    <n v="1150.9920000000002"/>
  </r>
  <r>
    <x v="911"/>
    <x v="26"/>
    <x v="3"/>
    <s v="Formal"/>
    <x v="5"/>
    <x v="1"/>
    <x v="0"/>
    <n v="88.97"/>
    <n v="7"/>
    <n v="622.79"/>
    <x v="4"/>
    <s v="Low"/>
    <s v="Average"/>
    <n v="-656.09000000000015"/>
    <n v="0.1"/>
    <n v="560.51099999999997"/>
  </r>
  <r>
    <x v="912"/>
    <x v="78"/>
    <x v="0"/>
    <s v="Running"/>
    <x v="4"/>
    <x v="5"/>
    <x v="0"/>
    <n v="167.31"/>
    <n v="18"/>
    <n v="3011.58"/>
    <x v="2"/>
    <s v="High"/>
    <s v="Excellent"/>
    <n v="2388.79"/>
    <n v="0.1"/>
    <n v="2710.422"/>
  </r>
  <r>
    <x v="913"/>
    <x v="321"/>
    <x v="2"/>
    <s v="Casual"/>
    <x v="5"/>
    <x v="2"/>
    <x v="2"/>
    <n v="120.07"/>
    <n v="9"/>
    <n v="1080.6300000000001"/>
    <x v="4"/>
    <s v="Low"/>
    <s v="Average"/>
    <n v="-1930.9499999999998"/>
    <n v="0.1"/>
    <n v="972.56700000000012"/>
  </r>
  <r>
    <x v="914"/>
    <x v="73"/>
    <x v="3"/>
    <s v="Boots"/>
    <x v="0"/>
    <x v="6"/>
    <x v="1"/>
    <n v="151.44999999999999"/>
    <n v="8"/>
    <n v="1211.5999999999999"/>
    <x v="7"/>
    <s v="Low"/>
    <s v="Average"/>
    <n v="130.9699999999998"/>
    <n v="0.1"/>
    <n v="1090.44"/>
  </r>
  <r>
    <x v="915"/>
    <x v="27"/>
    <x v="2"/>
    <s v="Casual"/>
    <x v="5"/>
    <x v="1"/>
    <x v="1"/>
    <n v="125.95"/>
    <n v="5"/>
    <n v="629.75"/>
    <x v="1"/>
    <s v="Low"/>
    <s v="Average"/>
    <n v="-581.84999999999991"/>
    <n v="0.1"/>
    <n v="566.77499999999998"/>
  </r>
  <r>
    <x v="916"/>
    <x v="273"/>
    <x v="5"/>
    <s v="Formal"/>
    <x v="1"/>
    <x v="3"/>
    <x v="1"/>
    <n v="94.78"/>
    <n v="11"/>
    <n v="1042.58"/>
    <x v="5"/>
    <s v="Low"/>
    <s v="Average"/>
    <n v="412.82999999999993"/>
    <n v="0.1"/>
    <n v="938.322"/>
  </r>
  <r>
    <x v="917"/>
    <x v="181"/>
    <x v="1"/>
    <s v="Sneakers"/>
    <x v="2"/>
    <x v="5"/>
    <x v="1"/>
    <n v="238.66"/>
    <n v="5"/>
    <n v="1193.3"/>
    <x v="2"/>
    <s v="Low"/>
    <s v="Average"/>
    <n v="150.72000000000003"/>
    <n v="0.1"/>
    <n v="1073.97"/>
  </r>
  <r>
    <x v="918"/>
    <x v="85"/>
    <x v="5"/>
    <s v="Sneakers"/>
    <x v="3"/>
    <x v="2"/>
    <x v="1"/>
    <n v="197.99"/>
    <n v="19"/>
    <n v="3761.81"/>
    <x v="2"/>
    <s v="High"/>
    <s v="Excellent"/>
    <n v="2568.5100000000002"/>
    <n v="0.1"/>
    <n v="3385.6289999999999"/>
  </r>
  <r>
    <x v="919"/>
    <x v="73"/>
    <x v="5"/>
    <s v="Sneakers"/>
    <x v="2"/>
    <x v="4"/>
    <x v="0"/>
    <n v="60.82"/>
    <n v="12"/>
    <n v="729.84"/>
    <x v="7"/>
    <s v="Low"/>
    <s v="Average"/>
    <n v="-3031.97"/>
    <n v="0.1"/>
    <n v="656.85599999999999"/>
  </r>
  <r>
    <x v="920"/>
    <x v="58"/>
    <x v="4"/>
    <s v="Formal"/>
    <x v="0"/>
    <x v="0"/>
    <x v="2"/>
    <n v="221.06"/>
    <n v="10"/>
    <n v="2210.6"/>
    <x v="2"/>
    <s v="High"/>
    <s v="Good"/>
    <n v="1480.7599999999998"/>
    <n v="0.1"/>
    <n v="1989.54"/>
  </r>
  <r>
    <x v="921"/>
    <x v="114"/>
    <x v="2"/>
    <s v="Casual"/>
    <x v="0"/>
    <x v="3"/>
    <x v="2"/>
    <n v="137.22999999999999"/>
    <n v="1"/>
    <n v="137.22999999999999"/>
    <x v="11"/>
    <s v="Low"/>
    <s v="Low"/>
    <n v="-2073.37"/>
    <n v="0.1"/>
    <n v="123.50699999999999"/>
  </r>
  <r>
    <x v="922"/>
    <x v="123"/>
    <x v="1"/>
    <s v="Formal"/>
    <x v="4"/>
    <x v="3"/>
    <x v="0"/>
    <n v="226.8"/>
    <n v="1"/>
    <n v="226.8"/>
    <x v="3"/>
    <s v="Low"/>
    <s v="Low"/>
    <n v="89.570000000000022"/>
    <n v="0.1"/>
    <n v="204.12"/>
  </r>
  <r>
    <x v="923"/>
    <x v="223"/>
    <x v="2"/>
    <s v="Casual"/>
    <x v="5"/>
    <x v="5"/>
    <x v="2"/>
    <n v="205.97"/>
    <n v="10"/>
    <n v="2059.6999999999998"/>
    <x v="2"/>
    <s v="High"/>
    <s v="Good"/>
    <n v="1832.8999999999999"/>
    <n v="0.1"/>
    <n v="1853.7299999999998"/>
  </r>
  <r>
    <x v="924"/>
    <x v="311"/>
    <x v="2"/>
    <s v="Formal"/>
    <x v="4"/>
    <x v="0"/>
    <x v="0"/>
    <n v="123.55"/>
    <n v="14"/>
    <n v="1729.7"/>
    <x v="10"/>
    <s v="Low"/>
    <s v="Good"/>
    <n v="-329.99999999999977"/>
    <n v="0.1"/>
    <n v="1556.73"/>
  </r>
  <r>
    <x v="925"/>
    <x v="203"/>
    <x v="5"/>
    <s v="Casual"/>
    <x v="0"/>
    <x v="1"/>
    <x v="2"/>
    <n v="34.94"/>
    <n v="13"/>
    <n v="454.22"/>
    <x v="0"/>
    <s v="Low"/>
    <s v="Low"/>
    <n v="-1275.48"/>
    <n v="0.1"/>
    <n v="408.79800000000006"/>
  </r>
  <r>
    <x v="926"/>
    <x v="262"/>
    <x v="2"/>
    <s v="Sneakers"/>
    <x v="3"/>
    <x v="2"/>
    <x v="2"/>
    <n v="89.11"/>
    <n v="8"/>
    <n v="712.88"/>
    <x v="0"/>
    <s v="Low"/>
    <s v="Average"/>
    <n v="258.65999999999997"/>
    <n v="0.1"/>
    <n v="641.59199999999998"/>
  </r>
  <r>
    <x v="927"/>
    <x v="289"/>
    <x v="4"/>
    <s v="Formal"/>
    <x v="2"/>
    <x v="4"/>
    <x v="0"/>
    <n v="149.16"/>
    <n v="18"/>
    <n v="2684.88"/>
    <x v="6"/>
    <s v="High"/>
    <s v="Good"/>
    <n v="1972"/>
    <n v="0.1"/>
    <n v="2416.3920000000003"/>
  </r>
  <r>
    <x v="928"/>
    <x v="38"/>
    <x v="4"/>
    <s v="Running"/>
    <x v="3"/>
    <x v="6"/>
    <x v="1"/>
    <n v="169.37"/>
    <n v="5"/>
    <n v="846.85"/>
    <x v="10"/>
    <s v="Low"/>
    <s v="Average"/>
    <n v="-1838.0300000000002"/>
    <n v="0.1"/>
    <n v="762.16500000000008"/>
  </r>
  <r>
    <x v="929"/>
    <x v="337"/>
    <x v="1"/>
    <s v="Sneakers"/>
    <x v="4"/>
    <x v="0"/>
    <x v="2"/>
    <n v="86.74"/>
    <n v="9"/>
    <n v="780.66"/>
    <x v="2"/>
    <s v="Low"/>
    <s v="Average"/>
    <n v="-66.190000000000055"/>
    <n v="0.1"/>
    <n v="702.59399999999994"/>
  </r>
  <r>
    <x v="930"/>
    <x v="193"/>
    <x v="0"/>
    <s v="Sneakers"/>
    <x v="5"/>
    <x v="0"/>
    <x v="0"/>
    <n v="60.66"/>
    <n v="5"/>
    <n v="303.3"/>
    <x v="11"/>
    <s v="Low"/>
    <s v="Low"/>
    <n v="-477.35999999999996"/>
    <n v="0.1"/>
    <n v="272.97000000000003"/>
  </r>
  <r>
    <x v="931"/>
    <x v="338"/>
    <x v="3"/>
    <s v="Boots"/>
    <x v="4"/>
    <x v="2"/>
    <x v="0"/>
    <n v="213.68"/>
    <n v="9"/>
    <n v="1923.12"/>
    <x v="6"/>
    <s v="Low"/>
    <s v="Good"/>
    <n v="1619.82"/>
    <n v="0.1"/>
    <n v="1730.808"/>
  </r>
  <r>
    <x v="932"/>
    <x v="167"/>
    <x v="3"/>
    <s v="Running"/>
    <x v="4"/>
    <x v="0"/>
    <x v="2"/>
    <n v="246.57"/>
    <n v="3"/>
    <n v="739.71"/>
    <x v="10"/>
    <s v="Low"/>
    <s v="Average"/>
    <n v="-1183.4099999999999"/>
    <n v="0.1"/>
    <n v="665.73900000000003"/>
  </r>
  <r>
    <x v="933"/>
    <x v="108"/>
    <x v="5"/>
    <s v="Sports"/>
    <x v="4"/>
    <x v="2"/>
    <x v="0"/>
    <n v="145.65"/>
    <n v="10"/>
    <n v="1456.5"/>
    <x v="2"/>
    <s v="Low"/>
    <s v="Average"/>
    <n v="716.79"/>
    <n v="0.1"/>
    <n v="1310.8500000000001"/>
  </r>
  <r>
    <x v="934"/>
    <x v="92"/>
    <x v="3"/>
    <s v="Running"/>
    <x v="0"/>
    <x v="4"/>
    <x v="2"/>
    <n v="67.77"/>
    <n v="3"/>
    <n v="203.31"/>
    <x v="7"/>
    <s v="Low"/>
    <s v="Low"/>
    <n v="-1253.19"/>
    <n v="0.1"/>
    <n v="182.97900000000001"/>
  </r>
  <r>
    <x v="935"/>
    <x v="287"/>
    <x v="5"/>
    <s v="Casual"/>
    <x v="2"/>
    <x v="4"/>
    <x v="2"/>
    <n v="89.91"/>
    <n v="18"/>
    <n v="1618.38"/>
    <x v="4"/>
    <s v="Low"/>
    <s v="Good"/>
    <n v="1415.0700000000002"/>
    <n v="0.1"/>
    <n v="1456.5420000000001"/>
  </r>
  <r>
    <x v="936"/>
    <x v="20"/>
    <x v="0"/>
    <s v="Boots"/>
    <x v="2"/>
    <x v="6"/>
    <x v="2"/>
    <n v="34.049999999999997"/>
    <n v="1"/>
    <n v="34.049999999999997"/>
    <x v="5"/>
    <s v="Low"/>
    <s v="Low"/>
    <n v="-1584.3300000000002"/>
    <n v="0.1"/>
    <n v="30.645"/>
  </r>
  <r>
    <x v="937"/>
    <x v="102"/>
    <x v="3"/>
    <s v="Formal"/>
    <x v="3"/>
    <x v="4"/>
    <x v="0"/>
    <n v="231.15"/>
    <n v="2"/>
    <n v="462.3"/>
    <x v="6"/>
    <s v="Low"/>
    <s v="Low"/>
    <n v="428.25"/>
    <n v="0.1"/>
    <n v="416.07"/>
  </r>
  <r>
    <x v="938"/>
    <x v="282"/>
    <x v="5"/>
    <s v="Formal"/>
    <x v="3"/>
    <x v="3"/>
    <x v="2"/>
    <n v="55.91"/>
    <n v="7"/>
    <n v="391.37"/>
    <x v="9"/>
    <s v="Low"/>
    <s v="Low"/>
    <n v="-70.930000000000007"/>
    <n v="0.1"/>
    <n v="352.233"/>
  </r>
  <r>
    <x v="939"/>
    <x v="5"/>
    <x v="1"/>
    <s v="Sneakers"/>
    <x v="1"/>
    <x v="1"/>
    <x v="2"/>
    <n v="156.83000000000001"/>
    <n v="2"/>
    <n v="313.66000000000003"/>
    <x v="1"/>
    <s v="Low"/>
    <s v="Low"/>
    <n v="-77.70999999999998"/>
    <n v="0.1"/>
    <n v="282.29400000000004"/>
  </r>
  <r>
    <x v="940"/>
    <x v="315"/>
    <x v="3"/>
    <s v="Sports"/>
    <x v="5"/>
    <x v="4"/>
    <x v="1"/>
    <n v="90.29"/>
    <n v="10"/>
    <n v="902.9"/>
    <x v="9"/>
    <s v="Low"/>
    <s v="Average"/>
    <n v="589.24"/>
    <n v="0.1"/>
    <n v="812.61"/>
  </r>
  <r>
    <x v="941"/>
    <x v="314"/>
    <x v="3"/>
    <s v="Boots"/>
    <x v="4"/>
    <x v="3"/>
    <x v="0"/>
    <n v="151.91999999999999"/>
    <n v="4"/>
    <n v="607.67999999999995"/>
    <x v="10"/>
    <s v="Low"/>
    <s v="Average"/>
    <n v="-295.22000000000003"/>
    <n v="0.1"/>
    <n v="546.91199999999992"/>
  </r>
  <r>
    <x v="942"/>
    <x v="40"/>
    <x v="2"/>
    <s v="Running"/>
    <x v="4"/>
    <x v="4"/>
    <x v="0"/>
    <n v="173.31"/>
    <n v="9"/>
    <n v="1559.79"/>
    <x v="1"/>
    <s v="Low"/>
    <s v="Good"/>
    <n v="952.11"/>
    <n v="0.1"/>
    <n v="1403.8109999999999"/>
  </r>
  <r>
    <x v="943"/>
    <x v="323"/>
    <x v="2"/>
    <s v="Boots"/>
    <x v="4"/>
    <x v="2"/>
    <x v="1"/>
    <n v="212.54"/>
    <n v="2"/>
    <n v="425.08"/>
    <x v="11"/>
    <s v="Low"/>
    <s v="Low"/>
    <n v="-1134.71"/>
    <n v="0.1"/>
    <n v="382.572"/>
  </r>
  <r>
    <x v="944"/>
    <x v="334"/>
    <x v="0"/>
    <s v="Casual"/>
    <x v="2"/>
    <x v="6"/>
    <x v="0"/>
    <n v="75.41"/>
    <n v="12"/>
    <n v="904.92"/>
    <x v="1"/>
    <s v="Low"/>
    <s v="Average"/>
    <n v="479.84"/>
    <n v="0.1"/>
    <n v="814.428"/>
  </r>
  <r>
    <x v="945"/>
    <x v="185"/>
    <x v="4"/>
    <s v="Boots"/>
    <x v="5"/>
    <x v="1"/>
    <x v="2"/>
    <n v="32.42"/>
    <n v="20"/>
    <n v="648.4"/>
    <x v="8"/>
    <s v="Low"/>
    <s v="Average"/>
    <n v="-256.52"/>
    <n v="0.1"/>
    <n v="583.55999999999995"/>
  </r>
  <r>
    <x v="946"/>
    <x v="203"/>
    <x v="1"/>
    <s v="Sneakers"/>
    <x v="5"/>
    <x v="0"/>
    <x v="2"/>
    <n v="60.11"/>
    <n v="5"/>
    <n v="300.55"/>
    <x v="0"/>
    <s v="Low"/>
    <s v="Low"/>
    <n v="-347.84999999999997"/>
    <n v="0.1"/>
    <n v="270.495"/>
  </r>
  <r>
    <x v="947"/>
    <x v="167"/>
    <x v="2"/>
    <s v="Boots"/>
    <x v="0"/>
    <x v="4"/>
    <x v="2"/>
    <n v="228"/>
    <n v="11"/>
    <n v="2508"/>
    <x v="10"/>
    <s v="High"/>
    <s v="Good"/>
    <n v="2207.4499999999998"/>
    <n v="0.1"/>
    <n v="2257.2000000000003"/>
  </r>
  <r>
    <x v="948"/>
    <x v="119"/>
    <x v="1"/>
    <s v="Formal"/>
    <x v="0"/>
    <x v="2"/>
    <x v="0"/>
    <n v="222.26"/>
    <n v="1"/>
    <n v="222.26"/>
    <x v="10"/>
    <s v="Low"/>
    <s v="Low"/>
    <n v="-2285.7399999999998"/>
    <n v="0.1"/>
    <n v="200.03399999999999"/>
  </r>
  <r>
    <x v="949"/>
    <x v="56"/>
    <x v="5"/>
    <s v="Boots"/>
    <x v="4"/>
    <x v="5"/>
    <x v="2"/>
    <n v="161.43"/>
    <n v="2"/>
    <n v="322.86"/>
    <x v="6"/>
    <s v="Low"/>
    <s v="Low"/>
    <n v="100.60000000000002"/>
    <n v="0.1"/>
    <n v="290.57400000000001"/>
  </r>
  <r>
    <x v="950"/>
    <x v="44"/>
    <x v="3"/>
    <s v="Sneakers"/>
    <x v="2"/>
    <x v="5"/>
    <x v="2"/>
    <n v="162.11000000000001"/>
    <n v="16"/>
    <n v="2593.7600000000002"/>
    <x v="3"/>
    <s v="High"/>
    <s v="Good"/>
    <n v="2270.9"/>
    <n v="0.1"/>
    <n v="2334.3840000000005"/>
  </r>
  <r>
    <x v="951"/>
    <x v="198"/>
    <x v="4"/>
    <s v="Sneakers"/>
    <x v="1"/>
    <x v="0"/>
    <x v="0"/>
    <n v="176.31"/>
    <n v="15"/>
    <n v="2644.65"/>
    <x v="7"/>
    <s v="High"/>
    <s v="Good"/>
    <n v="50.889999999999873"/>
    <n v="0.1"/>
    <n v="2380.1849999999999"/>
  </r>
  <r>
    <x v="952"/>
    <x v="189"/>
    <x v="5"/>
    <s v="Sports"/>
    <x v="0"/>
    <x v="5"/>
    <x v="2"/>
    <n v="68.58"/>
    <n v="5"/>
    <n v="342.9"/>
    <x v="9"/>
    <s v="Low"/>
    <s v="Low"/>
    <n v="-2301.75"/>
    <n v="0.1"/>
    <n v="308.61"/>
  </r>
  <r>
    <x v="953"/>
    <x v="131"/>
    <x v="1"/>
    <s v="Sneakers"/>
    <x v="4"/>
    <x v="2"/>
    <x v="0"/>
    <n v="231.17"/>
    <n v="1"/>
    <n v="231.17"/>
    <x v="2"/>
    <s v="Low"/>
    <s v="Low"/>
    <n v="-111.72999999999999"/>
    <n v="0.1"/>
    <n v="208.053"/>
  </r>
  <r>
    <x v="954"/>
    <x v="193"/>
    <x v="4"/>
    <s v="Sneakers"/>
    <x v="2"/>
    <x v="3"/>
    <x v="1"/>
    <n v="122.13"/>
    <n v="20"/>
    <n v="2442.6"/>
    <x v="11"/>
    <s v="High"/>
    <s v="Good"/>
    <n v="2211.4299999999998"/>
    <n v="0.1"/>
    <n v="2198.34"/>
  </r>
  <r>
    <x v="955"/>
    <x v="31"/>
    <x v="5"/>
    <s v="Casual"/>
    <x v="1"/>
    <x v="2"/>
    <x v="2"/>
    <n v="114.29"/>
    <n v="18"/>
    <n v="2057.2199999999998"/>
    <x v="4"/>
    <s v="High"/>
    <s v="Good"/>
    <n v="-385.38000000000011"/>
    <n v="0.1"/>
    <n v="1851.4979999999998"/>
  </r>
  <r>
    <x v="956"/>
    <x v="339"/>
    <x v="2"/>
    <s v="Sports"/>
    <x v="0"/>
    <x v="6"/>
    <x v="1"/>
    <n v="144.16"/>
    <n v="5"/>
    <n v="720.8"/>
    <x v="3"/>
    <s v="Low"/>
    <s v="Average"/>
    <n v="-1336.4199999999998"/>
    <n v="0.1"/>
    <n v="648.72"/>
  </r>
  <r>
    <x v="957"/>
    <x v="77"/>
    <x v="0"/>
    <s v="Sneakers"/>
    <x v="3"/>
    <x v="1"/>
    <x v="0"/>
    <n v="40.33"/>
    <n v="4"/>
    <n v="161.32"/>
    <x v="7"/>
    <s v="Low"/>
    <s v="Low"/>
    <n v="-559.48"/>
    <n v="0.1"/>
    <n v="145.18799999999999"/>
  </r>
  <r>
    <x v="958"/>
    <x v="176"/>
    <x v="0"/>
    <s v="Casual"/>
    <x v="5"/>
    <x v="6"/>
    <x v="0"/>
    <n v="66.58"/>
    <n v="6"/>
    <n v="399.48"/>
    <x v="1"/>
    <s v="Low"/>
    <s v="Low"/>
    <n v="238.16000000000003"/>
    <n v="0.1"/>
    <n v="359.53200000000004"/>
  </r>
  <r>
    <x v="959"/>
    <x v="39"/>
    <x v="2"/>
    <s v="Boots"/>
    <x v="4"/>
    <x v="2"/>
    <x v="2"/>
    <n v="192.37"/>
    <n v="2"/>
    <n v="384.74"/>
    <x v="4"/>
    <s v="Low"/>
    <s v="Low"/>
    <n v="-14.740000000000009"/>
    <n v="0.1"/>
    <n v="346.26600000000002"/>
  </r>
  <r>
    <x v="960"/>
    <x v="255"/>
    <x v="1"/>
    <s v="Sneakers"/>
    <x v="0"/>
    <x v="1"/>
    <x v="2"/>
    <n v="48.22"/>
    <n v="20"/>
    <n v="964.4"/>
    <x v="9"/>
    <s v="Low"/>
    <s v="Average"/>
    <n v="579.66"/>
    <n v="0.1"/>
    <n v="867.96"/>
  </r>
  <r>
    <x v="961"/>
    <x v="168"/>
    <x v="1"/>
    <s v="Running"/>
    <x v="5"/>
    <x v="0"/>
    <x v="1"/>
    <n v="162.69"/>
    <n v="20"/>
    <n v="3253.8"/>
    <x v="10"/>
    <s v="High"/>
    <s v="Excellent"/>
    <n v="2289.4"/>
    <n v="0.1"/>
    <n v="2928.42"/>
  </r>
  <r>
    <x v="962"/>
    <x v="116"/>
    <x v="5"/>
    <s v="Boots"/>
    <x v="5"/>
    <x v="3"/>
    <x v="1"/>
    <n v="83.98"/>
    <n v="3"/>
    <n v="251.94"/>
    <x v="9"/>
    <s v="Low"/>
    <s v="Low"/>
    <n v="-3001.86"/>
    <n v="0.1"/>
    <n v="226.74600000000001"/>
  </r>
  <r>
    <x v="963"/>
    <x v="172"/>
    <x v="1"/>
    <s v="Running"/>
    <x v="1"/>
    <x v="3"/>
    <x v="1"/>
    <n v="115.65"/>
    <n v="12"/>
    <n v="1387.8"/>
    <x v="2"/>
    <s v="Low"/>
    <s v="Average"/>
    <n v="1135.8599999999999"/>
    <n v="0.1"/>
    <n v="1249.02"/>
  </r>
  <r>
    <x v="964"/>
    <x v="300"/>
    <x v="4"/>
    <s v="Running"/>
    <x v="2"/>
    <x v="5"/>
    <x v="0"/>
    <n v="93.51"/>
    <n v="3"/>
    <n v="280.52999999999997"/>
    <x v="11"/>
    <s v="Low"/>
    <s v="Low"/>
    <n v="-1107.27"/>
    <n v="0.1"/>
    <n v="252.47699999999998"/>
  </r>
  <r>
    <x v="965"/>
    <x v="210"/>
    <x v="2"/>
    <s v="Formal"/>
    <x v="2"/>
    <x v="0"/>
    <x v="1"/>
    <n v="108.25"/>
    <n v="8"/>
    <n v="866"/>
    <x v="4"/>
    <s v="Low"/>
    <s v="Average"/>
    <n v="585.47"/>
    <n v="0.1"/>
    <n v="779.4"/>
  </r>
  <r>
    <x v="966"/>
    <x v="139"/>
    <x v="2"/>
    <s v="Boots"/>
    <x v="2"/>
    <x v="5"/>
    <x v="1"/>
    <n v="188.19"/>
    <n v="8"/>
    <n v="1505.52"/>
    <x v="8"/>
    <s v="Low"/>
    <s v="Good"/>
    <n v="639.52"/>
    <n v="0.1"/>
    <n v="1354.9680000000001"/>
  </r>
  <r>
    <x v="967"/>
    <x v="14"/>
    <x v="1"/>
    <s v="Running"/>
    <x v="3"/>
    <x v="5"/>
    <x v="2"/>
    <n v="95.37"/>
    <n v="14"/>
    <n v="1335.18"/>
    <x v="3"/>
    <s v="Low"/>
    <s v="Average"/>
    <n v="-170.33999999999992"/>
    <n v="0.1"/>
    <n v="1201.662"/>
  </r>
  <r>
    <x v="968"/>
    <x v="151"/>
    <x v="1"/>
    <s v="Boots"/>
    <x v="4"/>
    <x v="1"/>
    <x v="0"/>
    <n v="154.61000000000001"/>
    <n v="15"/>
    <n v="2319.15"/>
    <x v="8"/>
    <s v="High"/>
    <s v="Good"/>
    <n v="983.97"/>
    <n v="0.1"/>
    <n v="2087.2350000000001"/>
  </r>
  <r>
    <x v="969"/>
    <x v="212"/>
    <x v="5"/>
    <s v="Sneakers"/>
    <x v="0"/>
    <x v="2"/>
    <x v="0"/>
    <n v="134.72999999999999"/>
    <n v="18"/>
    <n v="2425.14"/>
    <x v="10"/>
    <s v="High"/>
    <s v="Good"/>
    <n v="105.98999999999978"/>
    <n v="0.1"/>
    <n v="2182.6259999999997"/>
  </r>
  <r>
    <x v="970"/>
    <x v="123"/>
    <x v="5"/>
    <s v="Sports"/>
    <x v="0"/>
    <x v="5"/>
    <x v="2"/>
    <n v="176.01"/>
    <n v="20"/>
    <n v="3520.2"/>
    <x v="3"/>
    <s v="High"/>
    <s v="Excellent"/>
    <n v="1095.06"/>
    <n v="0.1"/>
    <n v="3168.18"/>
  </r>
  <r>
    <x v="971"/>
    <x v="295"/>
    <x v="1"/>
    <s v="Formal"/>
    <x v="3"/>
    <x v="3"/>
    <x v="1"/>
    <n v="236.1"/>
    <n v="14"/>
    <n v="3305.4"/>
    <x v="5"/>
    <s v="High"/>
    <s v="Excellent"/>
    <n v="-214.79999999999973"/>
    <n v="0.1"/>
    <n v="2974.86"/>
  </r>
  <r>
    <x v="972"/>
    <x v="155"/>
    <x v="2"/>
    <s v="Casual"/>
    <x v="4"/>
    <x v="4"/>
    <x v="1"/>
    <n v="191.17"/>
    <n v="19"/>
    <n v="3632.23"/>
    <x v="6"/>
    <s v="High"/>
    <s v="Excellent"/>
    <n v="326.82999999999993"/>
    <n v="0.1"/>
    <n v="3269.0070000000001"/>
  </r>
  <r>
    <x v="973"/>
    <x v="156"/>
    <x v="5"/>
    <s v="Formal"/>
    <x v="4"/>
    <x v="1"/>
    <x v="1"/>
    <n v="77.290000000000006"/>
    <n v="12"/>
    <n v="927.48"/>
    <x v="6"/>
    <s v="Low"/>
    <s v="Average"/>
    <n v="-2704.75"/>
    <n v="0.1"/>
    <n v="834.73200000000008"/>
  </r>
  <r>
    <x v="974"/>
    <x v="308"/>
    <x v="2"/>
    <s v="Running"/>
    <x v="1"/>
    <x v="0"/>
    <x v="2"/>
    <n v="36.86"/>
    <n v="10"/>
    <n v="368.6"/>
    <x v="11"/>
    <s v="Low"/>
    <s v="Low"/>
    <n v="-558.88"/>
    <n v="0.1"/>
    <n v="331.74"/>
  </r>
  <r>
    <x v="975"/>
    <x v="94"/>
    <x v="3"/>
    <s v="Casual"/>
    <x v="0"/>
    <x v="1"/>
    <x v="1"/>
    <n v="87.7"/>
    <n v="10"/>
    <n v="877"/>
    <x v="11"/>
    <s v="Low"/>
    <s v="Average"/>
    <n v="508.4"/>
    <n v="0.1"/>
    <n v="789.30000000000007"/>
  </r>
  <r>
    <x v="976"/>
    <x v="173"/>
    <x v="2"/>
    <s v="Sneakers"/>
    <x v="1"/>
    <x v="5"/>
    <x v="0"/>
    <n v="160.91999999999999"/>
    <n v="18"/>
    <n v="2896.56"/>
    <x v="6"/>
    <s v="High"/>
    <s v="Good"/>
    <n v="2019.56"/>
    <n v="0.1"/>
    <n v="2606.904"/>
  </r>
  <r>
    <x v="977"/>
    <x v="340"/>
    <x v="5"/>
    <s v="Sports"/>
    <x v="2"/>
    <x v="0"/>
    <x v="2"/>
    <n v="41.31"/>
    <n v="2"/>
    <n v="82.62"/>
    <x v="4"/>
    <s v="Low"/>
    <s v="Low"/>
    <n v="-2813.94"/>
    <n v="0.1"/>
    <n v="74.358000000000004"/>
  </r>
  <r>
    <x v="978"/>
    <x v="237"/>
    <x v="3"/>
    <s v="Casual"/>
    <x v="0"/>
    <x v="4"/>
    <x v="2"/>
    <n v="139.19999999999999"/>
    <n v="19"/>
    <n v="2644.8"/>
    <x v="5"/>
    <s v="High"/>
    <s v="Good"/>
    <n v="2562.1800000000003"/>
    <n v="0.1"/>
    <n v="2380.3200000000002"/>
  </r>
  <r>
    <x v="979"/>
    <x v="143"/>
    <x v="5"/>
    <s v="Sneakers"/>
    <x v="2"/>
    <x v="2"/>
    <x v="0"/>
    <n v="161.31"/>
    <n v="19"/>
    <n v="3064.89"/>
    <x v="4"/>
    <s v="High"/>
    <s v="Excellent"/>
    <n v="420.08999999999969"/>
    <n v="0.1"/>
    <n v="2758.4009999999998"/>
  </r>
  <r>
    <x v="980"/>
    <x v="182"/>
    <x v="3"/>
    <s v="Formal"/>
    <x v="3"/>
    <x v="2"/>
    <x v="1"/>
    <n v="103.53"/>
    <n v="16"/>
    <n v="1656.48"/>
    <x v="7"/>
    <s v="Low"/>
    <s v="Good"/>
    <n v="-1408.4099999999999"/>
    <n v="0.1"/>
    <n v="1490.8320000000001"/>
  </r>
  <r>
    <x v="981"/>
    <x v="340"/>
    <x v="1"/>
    <s v="Sports"/>
    <x v="5"/>
    <x v="2"/>
    <x v="1"/>
    <n v="199.6"/>
    <n v="20"/>
    <n v="3992"/>
    <x v="4"/>
    <s v="High"/>
    <s v="Excellent"/>
    <n v="2335.52"/>
    <n v="0.1"/>
    <n v="3592.8"/>
  </r>
  <r>
    <x v="982"/>
    <x v="20"/>
    <x v="0"/>
    <s v="Sports"/>
    <x v="0"/>
    <x v="4"/>
    <x v="2"/>
    <n v="53.45"/>
    <n v="3"/>
    <n v="160.35"/>
    <x v="5"/>
    <s v="Low"/>
    <s v="Low"/>
    <n v="-3831.65"/>
    <n v="0.1"/>
    <n v="144.315"/>
  </r>
  <r>
    <x v="983"/>
    <x v="232"/>
    <x v="3"/>
    <s v="Boots"/>
    <x v="3"/>
    <x v="4"/>
    <x v="1"/>
    <n v="46.53"/>
    <n v="4"/>
    <n v="186.12"/>
    <x v="2"/>
    <s v="Low"/>
    <s v="Low"/>
    <n v="25.77000000000001"/>
    <n v="0.1"/>
    <n v="167.50800000000001"/>
  </r>
  <r>
    <x v="984"/>
    <x v="114"/>
    <x v="0"/>
    <s v="Sports"/>
    <x v="1"/>
    <x v="1"/>
    <x v="2"/>
    <n v="190.2"/>
    <n v="13"/>
    <n v="2472.6"/>
    <x v="11"/>
    <s v="High"/>
    <s v="Good"/>
    <n v="2286.48"/>
    <n v="0.1"/>
    <n v="2225.34"/>
  </r>
  <r>
    <x v="985"/>
    <x v="24"/>
    <x v="3"/>
    <s v="Sports"/>
    <x v="1"/>
    <x v="2"/>
    <x v="0"/>
    <n v="139.01"/>
    <n v="19"/>
    <n v="2641.19"/>
    <x v="3"/>
    <s v="High"/>
    <s v="Good"/>
    <n v="168.59000000000015"/>
    <n v="0.1"/>
    <n v="2377.0709999999999"/>
  </r>
  <r>
    <x v="986"/>
    <x v="19"/>
    <x v="1"/>
    <s v="Boots"/>
    <x v="4"/>
    <x v="6"/>
    <x v="1"/>
    <n v="181.45"/>
    <n v="2"/>
    <n v="362.9"/>
    <x v="1"/>
    <s v="Low"/>
    <s v="Low"/>
    <n v="-2278.29"/>
    <n v="0.1"/>
    <n v="326.61"/>
  </r>
  <r>
    <x v="987"/>
    <x v="260"/>
    <x v="0"/>
    <s v="Casual"/>
    <x v="4"/>
    <x v="3"/>
    <x v="2"/>
    <n v="125.66"/>
    <n v="17"/>
    <n v="2136.2199999999998"/>
    <x v="3"/>
    <s v="High"/>
    <s v="Good"/>
    <n v="1773.3199999999997"/>
    <n v="0.1"/>
    <n v="1922.598"/>
  </r>
  <r>
    <x v="988"/>
    <x v="60"/>
    <x v="4"/>
    <s v="Running"/>
    <x v="4"/>
    <x v="5"/>
    <x v="1"/>
    <n v="84.21"/>
    <n v="5"/>
    <n v="421.05"/>
    <x v="1"/>
    <s v="Low"/>
    <s v="Low"/>
    <n v="-1715.1699999999998"/>
    <n v="0.1"/>
    <n v="378.94499999999999"/>
  </r>
  <r>
    <x v="989"/>
    <x v="160"/>
    <x v="5"/>
    <s v="Sports"/>
    <x v="5"/>
    <x v="6"/>
    <x v="1"/>
    <n v="210.2"/>
    <n v="18"/>
    <n v="3783.6"/>
    <x v="11"/>
    <s v="High"/>
    <s v="Excellent"/>
    <n v="3362.5499999999997"/>
    <n v="0.1"/>
    <n v="3405.24"/>
  </r>
  <r>
    <x v="990"/>
    <x v="292"/>
    <x v="3"/>
    <s v="Formal"/>
    <x v="1"/>
    <x v="0"/>
    <x v="2"/>
    <n v="205.87"/>
    <n v="5"/>
    <n v="1029.3499999999999"/>
    <x v="2"/>
    <s v="Low"/>
    <s v="Average"/>
    <n v="-2754.25"/>
    <n v="0.1"/>
    <n v="926.41499999999996"/>
  </r>
  <r>
    <x v="991"/>
    <x v="159"/>
    <x v="3"/>
    <s v="Sneakers"/>
    <x v="1"/>
    <x v="2"/>
    <x v="1"/>
    <n v="182.83"/>
    <n v="19"/>
    <n v="3473.77"/>
    <x v="5"/>
    <s v="High"/>
    <s v="Excellent"/>
    <n v="2444.42"/>
    <n v="0.1"/>
    <n v="3126.393"/>
  </r>
  <r>
    <x v="992"/>
    <x v="102"/>
    <x v="0"/>
    <s v="Sports"/>
    <x v="4"/>
    <x v="3"/>
    <x v="1"/>
    <n v="89.87"/>
    <n v="8"/>
    <n v="718.96"/>
    <x v="6"/>
    <s v="Low"/>
    <s v="Average"/>
    <n v="-2754.81"/>
    <n v="0.1"/>
    <n v="647.06400000000008"/>
  </r>
  <r>
    <x v="993"/>
    <x v="260"/>
    <x v="0"/>
    <s v="Boots"/>
    <x v="4"/>
    <x v="6"/>
    <x v="2"/>
    <n v="159.85"/>
    <n v="3"/>
    <n v="479.55"/>
    <x v="3"/>
    <s v="Low"/>
    <s v="Low"/>
    <n v="-239.41000000000003"/>
    <n v="0.1"/>
    <n v="431.59500000000003"/>
  </r>
  <r>
    <x v="994"/>
    <x v="196"/>
    <x v="4"/>
    <s v="Sports"/>
    <x v="1"/>
    <x v="2"/>
    <x v="0"/>
    <n v="109.41"/>
    <n v="7"/>
    <n v="765.87"/>
    <x v="7"/>
    <s v="Low"/>
    <s v="Average"/>
    <n v="286.32"/>
    <n v="0.1"/>
    <n v="689.28300000000002"/>
  </r>
  <r>
    <x v="995"/>
    <x v="341"/>
    <x v="4"/>
    <s v="Sneakers"/>
    <x v="4"/>
    <x v="5"/>
    <x v="0"/>
    <n v="50.15"/>
    <n v="6"/>
    <n v="300.89999999999998"/>
    <x v="7"/>
    <s v="Low"/>
    <s v="Low"/>
    <n v="-464.97"/>
    <n v="0.1"/>
    <n v="270.81"/>
  </r>
  <r>
    <x v="996"/>
    <x v="89"/>
    <x v="3"/>
    <s v="Casual"/>
    <x v="3"/>
    <x v="3"/>
    <x v="0"/>
    <n v="231.81"/>
    <n v="2"/>
    <n v="463.62"/>
    <x v="2"/>
    <s v="Low"/>
    <s v="Low"/>
    <n v="162.72000000000003"/>
    <n v="0.1"/>
    <n v="417.25800000000004"/>
  </r>
  <r>
    <x v="997"/>
    <x v="275"/>
    <x v="1"/>
    <s v="Running"/>
    <x v="2"/>
    <x v="5"/>
    <x v="0"/>
    <n v="60.1"/>
    <n v="4"/>
    <n v="240.4"/>
    <x v="4"/>
    <s v="Low"/>
    <s v="Low"/>
    <n v="-223.22"/>
    <n v="0.1"/>
    <n v="216.36"/>
  </r>
  <r>
    <x v="998"/>
    <x v="138"/>
    <x v="4"/>
    <s v="Boots"/>
    <x v="5"/>
    <x v="3"/>
    <x v="2"/>
    <n v="239.05"/>
    <n v="1"/>
    <n v="239.05"/>
    <x v="6"/>
    <s v="Low"/>
    <s v="Low"/>
    <n v="-1.3499999999999943"/>
    <n v="0.1"/>
    <n v="215.14500000000001"/>
  </r>
  <r>
    <x v="999"/>
    <x v="145"/>
    <x v="4"/>
    <s v="Casual"/>
    <x v="3"/>
    <x v="5"/>
    <x v="0"/>
    <n v="128.12"/>
    <n v="1"/>
    <n v="128.12"/>
    <x v="2"/>
    <s v="Low"/>
    <s v="Low"/>
    <n v="-110.93"/>
    <n v="0.1"/>
    <n v="115.308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Boots"/>
    <s v="Blue"/>
    <s v="UK"/>
    <s v="Online"/>
    <n v="112.4"/>
    <n v="4"/>
    <n v="449.6"/>
    <s v="Nov"/>
    <s v="Low"/>
    <s v="Low"/>
    <n v="0"/>
    <n v="0.5"/>
    <n v="224.8"/>
  </r>
  <r>
    <x v="1"/>
    <x v="1"/>
    <x v="1"/>
    <s v="Boots"/>
    <s v="Grey"/>
    <s v="USA"/>
    <s v="Mall"/>
    <n v="239.16"/>
    <n v="4"/>
    <n v="956.64"/>
    <s v="Mar"/>
    <s v="Low"/>
    <s v="Average"/>
    <n v="507.03999999999996"/>
    <n v="0.2"/>
    <n v="765.31200000000001"/>
  </r>
  <r>
    <x v="2"/>
    <x v="2"/>
    <x v="0"/>
    <s v="Running"/>
    <s v="White"/>
    <s v="UK"/>
    <s v="Mall"/>
    <n v="191.04"/>
    <n v="2"/>
    <n v="382.08"/>
    <s v="Aug"/>
    <s v="Low"/>
    <s v="Low"/>
    <n v="-574.55999999999995"/>
    <n v="0.1"/>
    <n v="343.87200000000001"/>
  </r>
  <r>
    <x v="3"/>
    <x v="3"/>
    <x v="2"/>
    <s v="Casual"/>
    <s v="Green"/>
    <s v="UAE"/>
    <s v="Mall"/>
    <n v="161.69999999999999"/>
    <n v="1"/>
    <n v="161.69999999999999"/>
    <s v="Nov"/>
    <s v="Low"/>
    <s v="Low"/>
    <n v="-220.38"/>
    <n v="0.1"/>
    <n v="145.53"/>
  </r>
  <r>
    <x v="4"/>
    <x v="4"/>
    <x v="3"/>
    <s v="Formal"/>
    <s v="Grey"/>
    <s v="France"/>
    <s v="Online"/>
    <n v="64.319999999999993"/>
    <n v="14"/>
    <n v="900.48"/>
    <s v="Oct"/>
    <s v="Low"/>
    <s v="Average"/>
    <n v="738.78"/>
    <n v="0.1"/>
    <n v="810.43200000000002"/>
  </r>
  <r>
    <x v="5"/>
    <x v="5"/>
    <x v="4"/>
    <s v="Sports"/>
    <s v="White"/>
    <s v="UK"/>
    <s v="Retail Store"/>
    <n v="64.319999999999993"/>
    <n v="14"/>
    <n v="900.48"/>
    <s v="Mar"/>
    <s v="Low"/>
    <s v="Average"/>
    <n v="0"/>
    <n v="0.1"/>
    <n v="810.43200000000002"/>
  </r>
  <r>
    <x v="6"/>
    <x v="6"/>
    <x v="5"/>
    <s v="Running"/>
    <s v="Blue"/>
    <s v="Saudi Arabia"/>
    <s v="Retail Store"/>
    <n v="42.78"/>
    <n v="3"/>
    <n v="128.34"/>
    <s v="Feb"/>
    <s v="Low"/>
    <s v="Low"/>
    <n v="-772.14"/>
    <n v="0.1"/>
    <n v="115.506"/>
  </r>
  <r>
    <x v="7"/>
    <x v="7"/>
    <x v="0"/>
    <s v="Boots"/>
    <s v="Red"/>
    <s v="India"/>
    <s v="Online"/>
    <n v="220.56"/>
    <n v="9"/>
    <n v="1985.04"/>
    <s v="Nov"/>
    <s v="Low"/>
    <s v="Good"/>
    <n v="1856.7"/>
    <n v="0.1"/>
    <n v="1786.5360000000001"/>
  </r>
  <r>
    <x v="8"/>
    <x v="8"/>
    <x v="2"/>
    <s v="Sports"/>
    <s v="Green"/>
    <s v="India"/>
    <s v="Retail Store"/>
    <n v="162.25"/>
    <n v="3"/>
    <n v="486.75"/>
    <s v="Jul"/>
    <s v="Low"/>
    <s v="Low"/>
    <n v="-1498.29"/>
    <n v="0.1"/>
    <n v="438.07499999999999"/>
  </r>
  <r>
    <x v="9"/>
    <x v="9"/>
    <x v="1"/>
    <s v="Running"/>
    <s v="Black"/>
    <s v="UAE"/>
    <s v="Online"/>
    <n v="185.78"/>
    <n v="7"/>
    <n v="1300.46"/>
    <s v="Oct"/>
    <s v="Low"/>
    <s v="Average"/>
    <n v="813.71"/>
    <n v="0.1"/>
    <n v="1170.414"/>
  </r>
  <r>
    <x v="10"/>
    <x v="10"/>
    <x v="3"/>
    <s v="Running"/>
    <s v="Red"/>
    <s v="France"/>
    <s v="Retail Store"/>
    <n v="34.53"/>
    <n v="3"/>
    <n v="103.59"/>
    <s v="May"/>
    <s v="Low"/>
    <s v="Low"/>
    <n v="-1196.8700000000001"/>
    <n v="0.1"/>
    <n v="93.231000000000009"/>
  </r>
  <r>
    <x v="11"/>
    <x v="11"/>
    <x v="3"/>
    <s v="Sports"/>
    <s v="Blue"/>
    <s v="UK"/>
    <s v="Mall"/>
    <n v="243.38"/>
    <n v="12"/>
    <n v="2920.56"/>
    <s v="Nov"/>
    <s v="High"/>
    <s v="Good"/>
    <n v="2816.97"/>
    <n v="0.1"/>
    <n v="2628.5039999999999"/>
  </r>
  <r>
    <x v="12"/>
    <x v="12"/>
    <x v="2"/>
    <s v="Boots"/>
    <s v="White"/>
    <s v="India"/>
    <s v="Mall"/>
    <n v="213.14"/>
    <n v="3"/>
    <n v="639.41999999999996"/>
    <s v="May"/>
    <s v="Low"/>
    <s v="Average"/>
    <n v="-2281.14"/>
    <n v="0.1"/>
    <n v="575.47799999999995"/>
  </r>
  <r>
    <x v="13"/>
    <x v="13"/>
    <x v="5"/>
    <s v="Formal"/>
    <s v="Blue"/>
    <s v="UAE"/>
    <s v="Mall"/>
    <n v="76.709999999999994"/>
    <n v="6"/>
    <n v="460.26"/>
    <s v="May"/>
    <s v="Low"/>
    <s v="Low"/>
    <n v="-179.15999999999997"/>
    <n v="0.1"/>
    <n v="414.23399999999998"/>
  </r>
  <r>
    <x v="14"/>
    <x v="14"/>
    <x v="1"/>
    <s v="Sports"/>
    <s v="Black"/>
    <s v="UK"/>
    <s v="Online"/>
    <n v="70"/>
    <n v="8"/>
    <n v="560"/>
    <s v="Oct"/>
    <s v="Low"/>
    <s v="Average"/>
    <n v="99.740000000000009"/>
    <n v="0.1"/>
    <n v="504"/>
  </r>
  <r>
    <x v="15"/>
    <x v="15"/>
    <x v="4"/>
    <s v="Running"/>
    <s v="White"/>
    <s v="India"/>
    <s v="Mall"/>
    <n v="70.349999999999994"/>
    <n v="13"/>
    <n v="914.55"/>
    <s v="Jun"/>
    <s v="Low"/>
    <s v="Average"/>
    <n v="354.54999999999995"/>
    <n v="0.1"/>
    <n v="823.09500000000003"/>
  </r>
  <r>
    <x v="16"/>
    <x v="15"/>
    <x v="1"/>
    <s v="Formal"/>
    <s v="Red"/>
    <s v="UAE"/>
    <s v="Retail Store"/>
    <n v="96.93"/>
    <n v="7"/>
    <n v="678.51"/>
    <s v="Jun"/>
    <s v="Low"/>
    <s v="Average"/>
    <n v="-236.03999999999996"/>
    <n v="0.1"/>
    <n v="610.65899999999999"/>
  </r>
  <r>
    <x v="17"/>
    <x v="16"/>
    <x v="3"/>
    <s v="Casual"/>
    <s v="Green"/>
    <s v="India"/>
    <s v="Mall"/>
    <n v="145.44999999999999"/>
    <n v="9"/>
    <n v="1309.05"/>
    <s v="Mar"/>
    <s v="Low"/>
    <s v="Average"/>
    <n v="630.54"/>
    <n v="0.1"/>
    <n v="1178.145"/>
  </r>
  <r>
    <x v="18"/>
    <x v="17"/>
    <x v="5"/>
    <s v="Sneakers"/>
    <s v="Red"/>
    <s v="France"/>
    <s v="Online"/>
    <n v="125.03"/>
    <n v="19"/>
    <n v="2375.5700000000002"/>
    <s v="May"/>
    <s v="High"/>
    <s v="Good"/>
    <n v="1066.5200000000002"/>
    <n v="0.1"/>
    <n v="2138.0130000000004"/>
  </r>
  <r>
    <x v="19"/>
    <x v="18"/>
    <x v="5"/>
    <s v="Running"/>
    <s v="Black"/>
    <s v="Saudi Arabia"/>
    <s v="Online"/>
    <n v="94.07"/>
    <n v="17"/>
    <n v="1599.19"/>
    <s v="Mar"/>
    <s v="Low"/>
    <s v="Good"/>
    <n v="-776.38000000000011"/>
    <n v="0.1"/>
    <n v="1439.2710000000002"/>
  </r>
  <r>
    <x v="20"/>
    <x v="19"/>
    <x v="1"/>
    <s v="Formal"/>
    <s v="Grey"/>
    <s v="USA"/>
    <s v="Retail Store"/>
    <n v="164.61"/>
    <n v="6"/>
    <n v="987.66"/>
    <s v="Mar"/>
    <s v="Low"/>
    <s v="Average"/>
    <n v="-611.53000000000009"/>
    <n v="0.1"/>
    <n v="888.89400000000001"/>
  </r>
  <r>
    <x v="21"/>
    <x v="20"/>
    <x v="5"/>
    <s v="Sneakers"/>
    <s v="Blue"/>
    <s v="India"/>
    <s v="Online"/>
    <n v="60.69"/>
    <n v="20"/>
    <n v="1213.8"/>
    <s v="Jul"/>
    <s v="Low"/>
    <s v="Average"/>
    <n v="226.14"/>
    <n v="0.1"/>
    <n v="1092.42"/>
  </r>
  <r>
    <x v="22"/>
    <x v="21"/>
    <x v="1"/>
    <s v="Sneakers"/>
    <s v="Blue"/>
    <s v="Saudi Arabia"/>
    <s v="Mall"/>
    <n v="94.27"/>
    <n v="4"/>
    <n v="377.08"/>
    <s v="Dec"/>
    <s v="Low"/>
    <s v="Low"/>
    <n v="-836.72"/>
    <n v="0.1"/>
    <n v="339.37200000000001"/>
  </r>
  <r>
    <x v="23"/>
    <x v="22"/>
    <x v="4"/>
    <s v="Formal"/>
    <s v="White"/>
    <s v="Germany"/>
    <s v="Online"/>
    <n v="110.6"/>
    <n v="4"/>
    <n v="442.4"/>
    <s v="Jun"/>
    <s v="Low"/>
    <s v="Low"/>
    <n v="65.319999999999993"/>
    <n v="0.1"/>
    <n v="398.15999999999997"/>
  </r>
  <r>
    <x v="24"/>
    <x v="17"/>
    <x v="3"/>
    <s v="Sneakers"/>
    <s v="Black"/>
    <s v="Saudi Arabia"/>
    <s v="Mall"/>
    <n v="130.34"/>
    <n v="17"/>
    <n v="2215.7800000000002"/>
    <s v="May"/>
    <s v="High"/>
    <s v="Good"/>
    <n v="1773.38"/>
    <n v="0.1"/>
    <n v="1994.2020000000002"/>
  </r>
  <r>
    <x v="25"/>
    <x v="23"/>
    <x v="2"/>
    <s v="Casual"/>
    <s v="White"/>
    <s v="France"/>
    <s v="Online"/>
    <n v="202.74"/>
    <n v="17"/>
    <n v="3446.58"/>
    <s v="Jun"/>
    <s v="High"/>
    <s v="Excellent"/>
    <n v="1230.7999999999997"/>
    <n v="0.1"/>
    <n v="3101.922"/>
  </r>
  <r>
    <x v="26"/>
    <x v="24"/>
    <x v="0"/>
    <s v="Sneakers"/>
    <s v="Blue"/>
    <s v="Germany"/>
    <s v="Online"/>
    <n v="73.930000000000007"/>
    <n v="17"/>
    <n v="1256.81"/>
    <s v="Oct"/>
    <s v="Low"/>
    <s v="Average"/>
    <n v="-2189.77"/>
    <n v="0.1"/>
    <n v="1131.1289999999999"/>
  </r>
  <r>
    <x v="27"/>
    <x v="25"/>
    <x v="4"/>
    <s v="Casual"/>
    <s v="Black"/>
    <s v="UK"/>
    <s v="Mall"/>
    <n v="143.13"/>
    <n v="12"/>
    <n v="1717.56"/>
    <s v="Feb"/>
    <s v="Low"/>
    <s v="Good"/>
    <n v="460.75"/>
    <n v="0.1"/>
    <n v="1545.8040000000001"/>
  </r>
  <r>
    <x v="28"/>
    <x v="26"/>
    <x v="1"/>
    <s v="Formal"/>
    <s v="Black"/>
    <s v="Saudi Arabia"/>
    <s v="Mall"/>
    <n v="160.33000000000001"/>
    <n v="3"/>
    <n v="480.99"/>
    <s v="Feb"/>
    <s v="Low"/>
    <s v="Low"/>
    <n v="-1236.57"/>
    <n v="0.1"/>
    <n v="432.89100000000002"/>
  </r>
  <r>
    <x v="29"/>
    <x v="27"/>
    <x v="1"/>
    <s v="Formal"/>
    <s v="Grey"/>
    <s v="UK"/>
    <s v="Retail Store"/>
    <n v="40.22"/>
    <n v="5"/>
    <n v="201.1"/>
    <s v="Mar"/>
    <s v="Low"/>
    <s v="Low"/>
    <n v="-279.89"/>
    <n v="0.1"/>
    <n v="180.99"/>
  </r>
  <r>
    <x v="30"/>
    <x v="28"/>
    <x v="5"/>
    <s v="Casual"/>
    <s v="Grey"/>
    <s v="Saudi Arabia"/>
    <s v="Mall"/>
    <n v="163.66"/>
    <n v="20"/>
    <n v="3273.2"/>
    <s v="Sep"/>
    <s v="High"/>
    <s v="Excellent"/>
    <n v="3072.1"/>
    <n v="0.1"/>
    <n v="2945.88"/>
  </r>
  <r>
    <x v="31"/>
    <x v="29"/>
    <x v="1"/>
    <s v="Sports"/>
    <s v="Red"/>
    <s v="UAE"/>
    <s v="Mall"/>
    <n v="67.52"/>
    <n v="7"/>
    <n v="472.64"/>
    <s v="Dec"/>
    <s v="Low"/>
    <s v="Low"/>
    <n v="-2800.56"/>
    <n v="0.1"/>
    <n v="425.37599999999998"/>
  </r>
  <r>
    <x v="32"/>
    <x v="30"/>
    <x v="2"/>
    <s v="Formal"/>
    <s v="Black"/>
    <s v="UK"/>
    <s v="Online"/>
    <n v="44.31"/>
    <n v="15"/>
    <n v="664.65"/>
    <s v="Jul"/>
    <s v="Low"/>
    <s v="Average"/>
    <n v="192.01"/>
    <n v="0.1"/>
    <n v="598.18499999999995"/>
  </r>
  <r>
    <x v="33"/>
    <x v="31"/>
    <x v="0"/>
    <s v="Sneakers"/>
    <s v="Grey"/>
    <s v="UK"/>
    <s v="Mall"/>
    <n v="238.75"/>
    <n v="11"/>
    <n v="2626.25"/>
    <s v="Feb"/>
    <s v="High"/>
    <s v="Good"/>
    <n v="1961.6"/>
    <n v="0.1"/>
    <n v="2363.625"/>
  </r>
  <r>
    <x v="34"/>
    <x v="32"/>
    <x v="0"/>
    <s v="Boots"/>
    <s v="Green"/>
    <s v="USA"/>
    <s v="Online"/>
    <n v="242.44"/>
    <n v="1"/>
    <n v="242.44"/>
    <s v="Apr"/>
    <s v="Low"/>
    <s v="Low"/>
    <n v="-2383.81"/>
    <n v="0.1"/>
    <n v="218.196"/>
  </r>
  <r>
    <x v="35"/>
    <x v="33"/>
    <x v="4"/>
    <s v="Running"/>
    <s v="Grey"/>
    <s v="UK"/>
    <s v="Retail Store"/>
    <n v="207.85"/>
    <n v="2"/>
    <n v="415.7"/>
    <s v="Feb"/>
    <s v="Low"/>
    <s v="Low"/>
    <n v="173.26"/>
    <n v="0.1"/>
    <n v="374.13"/>
  </r>
  <r>
    <x v="36"/>
    <x v="34"/>
    <x v="3"/>
    <s v="Sneakers"/>
    <s v="White"/>
    <s v="UAE"/>
    <s v="Mall"/>
    <n v="97.02"/>
    <n v="16"/>
    <n v="1552.32"/>
    <s v="Dec"/>
    <s v="Low"/>
    <s v="Good"/>
    <n v="1136.6199999999999"/>
    <n v="0.1"/>
    <n v="1397.088"/>
  </r>
  <r>
    <x v="37"/>
    <x v="9"/>
    <x v="3"/>
    <s v="Formal"/>
    <s v="Red"/>
    <s v="UK"/>
    <s v="Online"/>
    <n v="51.49"/>
    <n v="16"/>
    <n v="823.84"/>
    <s v="Oct"/>
    <s v="Low"/>
    <s v="Average"/>
    <n v="-728.4799999999999"/>
    <n v="0.1"/>
    <n v="741.45600000000002"/>
  </r>
  <r>
    <x v="38"/>
    <x v="35"/>
    <x v="4"/>
    <s v="Formal"/>
    <s v="Red"/>
    <s v="Germany"/>
    <s v="Mall"/>
    <n v="180.53"/>
    <n v="14"/>
    <n v="2527.42"/>
    <s v="Feb"/>
    <s v="High"/>
    <s v="Good"/>
    <n v="1703.58"/>
    <n v="0.1"/>
    <n v="2274.6780000000003"/>
  </r>
  <r>
    <x v="39"/>
    <x v="36"/>
    <x v="0"/>
    <s v="Formal"/>
    <s v="Green"/>
    <s v="France"/>
    <s v="Online"/>
    <n v="126.83"/>
    <n v="4"/>
    <n v="507.32"/>
    <s v="Jan"/>
    <s v="Low"/>
    <s v="Average"/>
    <n v="-2020.1000000000001"/>
    <n v="0.1"/>
    <n v="456.58800000000002"/>
  </r>
  <r>
    <x v="40"/>
    <x v="37"/>
    <x v="3"/>
    <s v="Sneakers"/>
    <s v="Red"/>
    <s v="UK"/>
    <s v="Retail Store"/>
    <n v="56.85"/>
    <n v="7"/>
    <n v="397.95"/>
    <s v="May"/>
    <s v="Low"/>
    <s v="Low"/>
    <n v="-109.37"/>
    <n v="0.1"/>
    <n v="358.15499999999997"/>
  </r>
  <r>
    <x v="41"/>
    <x v="38"/>
    <x v="5"/>
    <s v="Casual"/>
    <s v="Black"/>
    <s v="Germany"/>
    <s v="Mall"/>
    <n v="138.94"/>
    <n v="9"/>
    <n v="1250.46"/>
    <s v="Apr"/>
    <s v="Low"/>
    <s v="Average"/>
    <n v="852.51"/>
    <n v="0.1"/>
    <n v="1125.414"/>
  </r>
  <r>
    <x v="42"/>
    <x v="39"/>
    <x v="1"/>
    <s v="Sneakers"/>
    <s v="Black"/>
    <s v="USA"/>
    <s v="Online"/>
    <n v="37.57"/>
    <n v="2"/>
    <n v="75.14"/>
    <s v="Feb"/>
    <s v="Low"/>
    <s v="Low"/>
    <n v="-1175.32"/>
    <n v="0.1"/>
    <n v="67.626000000000005"/>
  </r>
  <r>
    <x v="43"/>
    <x v="40"/>
    <x v="5"/>
    <s v="Formal"/>
    <s v="White"/>
    <s v="Saudi Arabia"/>
    <s v="Retail Store"/>
    <n v="230.05"/>
    <n v="14"/>
    <n v="3220.7"/>
    <s v="Mar"/>
    <s v="High"/>
    <s v="Excellent"/>
    <n v="3145.56"/>
    <n v="0.1"/>
    <n v="2898.63"/>
  </r>
  <r>
    <x v="44"/>
    <x v="41"/>
    <x v="5"/>
    <s v="Running"/>
    <s v="Red"/>
    <s v="France"/>
    <s v="Retail Store"/>
    <n v="86.93"/>
    <n v="6"/>
    <n v="521.58000000000004"/>
    <s v="Jan"/>
    <s v="Low"/>
    <s v="Average"/>
    <n v="-2699.12"/>
    <n v="0.1"/>
    <n v="469.42200000000003"/>
  </r>
  <r>
    <x v="45"/>
    <x v="42"/>
    <x v="1"/>
    <s v="Boots"/>
    <s v="Grey"/>
    <s v="UAE"/>
    <s v="Mall"/>
    <n v="175.75"/>
    <n v="14"/>
    <n v="2460.5"/>
    <s v="May"/>
    <s v="High"/>
    <s v="Good"/>
    <n v="1938.92"/>
    <n v="0.1"/>
    <n v="2214.4500000000003"/>
  </r>
  <r>
    <x v="46"/>
    <x v="43"/>
    <x v="3"/>
    <s v="Sports"/>
    <s v="White"/>
    <s v="USA"/>
    <s v="Mall"/>
    <n v="98.58"/>
    <n v="5"/>
    <n v="492.9"/>
    <s v="Sep"/>
    <s v="Low"/>
    <s v="Low"/>
    <n v="-1967.6"/>
    <n v="0.1"/>
    <n v="443.61"/>
  </r>
  <r>
    <x v="47"/>
    <x v="44"/>
    <x v="1"/>
    <s v="Sports"/>
    <s v="Black"/>
    <s v="USA"/>
    <s v="Mall"/>
    <n v="144.41"/>
    <n v="2"/>
    <n v="288.82"/>
    <s v="Oct"/>
    <s v="Low"/>
    <s v="Low"/>
    <n v="-204.07999999999998"/>
    <n v="0.1"/>
    <n v="259.93799999999999"/>
  </r>
  <r>
    <x v="48"/>
    <x v="45"/>
    <x v="2"/>
    <s v="Casual"/>
    <s v="Black"/>
    <s v="India"/>
    <s v="Online"/>
    <n v="150.28"/>
    <n v="17"/>
    <n v="2554.7600000000002"/>
    <s v="Sep"/>
    <s v="High"/>
    <s v="Good"/>
    <n v="2265.94"/>
    <n v="0.1"/>
    <n v="2299.2840000000001"/>
  </r>
  <r>
    <x v="49"/>
    <x v="46"/>
    <x v="2"/>
    <s v="Running"/>
    <s v="Green"/>
    <s v="Saudi Arabia"/>
    <s v="Online"/>
    <n v="70.67"/>
    <n v="3"/>
    <n v="212.01"/>
    <s v="Apr"/>
    <s v="Low"/>
    <s v="Low"/>
    <n v="-2342.75"/>
    <n v="0.1"/>
    <n v="190.809"/>
  </r>
  <r>
    <x v="50"/>
    <x v="47"/>
    <x v="2"/>
    <s v="Casual"/>
    <s v="Grey"/>
    <s v="India"/>
    <s v="Online"/>
    <n v="243.31"/>
    <n v="4"/>
    <n v="973.24"/>
    <s v="Jul"/>
    <s v="Low"/>
    <s v="Average"/>
    <n v="761.23"/>
    <n v="0.1"/>
    <n v="875.91600000000005"/>
  </r>
  <r>
    <x v="51"/>
    <x v="48"/>
    <x v="5"/>
    <s v="Boots"/>
    <s v="Grey"/>
    <s v="India"/>
    <s v="Mall"/>
    <n v="200.53"/>
    <n v="3"/>
    <n v="601.59"/>
    <s v="Nov"/>
    <s v="Low"/>
    <s v="Average"/>
    <n v="-371.65"/>
    <n v="0.1"/>
    <n v="541.43100000000004"/>
  </r>
  <r>
    <x v="52"/>
    <x v="15"/>
    <x v="3"/>
    <s v="Boots"/>
    <s v="Green"/>
    <s v="France"/>
    <s v="Online"/>
    <n v="236.69"/>
    <n v="9"/>
    <n v="2130.21"/>
    <s v="Jun"/>
    <s v="High"/>
    <s v="Good"/>
    <n v="1528.62"/>
    <n v="0.1"/>
    <n v="1917.1890000000001"/>
  </r>
  <r>
    <x v="53"/>
    <x v="49"/>
    <x v="3"/>
    <s v="Boots"/>
    <s v="Green"/>
    <s v="France"/>
    <s v="Retail Store"/>
    <n v="226.86"/>
    <n v="13"/>
    <n v="2949.18"/>
    <s v="May"/>
    <s v="High"/>
    <s v="Good"/>
    <n v="818.9699999999998"/>
    <n v="0.1"/>
    <n v="2654.2619999999997"/>
  </r>
  <r>
    <x v="54"/>
    <x v="15"/>
    <x v="0"/>
    <s v="Formal"/>
    <s v="Grey"/>
    <s v="India"/>
    <s v="Online"/>
    <n v="161.54"/>
    <n v="3"/>
    <n v="484.62"/>
    <s v="Jun"/>
    <s v="Low"/>
    <s v="Low"/>
    <n v="-2464.56"/>
    <n v="0.1"/>
    <n v="436.15800000000002"/>
  </r>
  <r>
    <x v="55"/>
    <x v="50"/>
    <x v="3"/>
    <s v="Sneakers"/>
    <s v="Blue"/>
    <s v="UK"/>
    <s v="Retail Store"/>
    <n v="232.81"/>
    <n v="18"/>
    <n v="4190.58"/>
    <s v="Feb"/>
    <s v="High"/>
    <s v="Excellent"/>
    <n v="3705.96"/>
    <n v="0.1"/>
    <n v="3771.5219999999999"/>
  </r>
  <r>
    <x v="56"/>
    <x v="51"/>
    <x v="4"/>
    <s v="Sports"/>
    <s v="White"/>
    <s v="Germany"/>
    <s v="Mall"/>
    <n v="49.47"/>
    <n v="8"/>
    <n v="395.76"/>
    <s v="Feb"/>
    <s v="Low"/>
    <s v="Low"/>
    <n v="-3794.8199999999997"/>
    <n v="0.1"/>
    <n v="356.18400000000003"/>
  </r>
  <r>
    <x v="57"/>
    <x v="52"/>
    <x v="2"/>
    <s v="Boots"/>
    <s v="Grey"/>
    <s v="USA"/>
    <s v="Mall"/>
    <n v="73.12"/>
    <n v="10"/>
    <n v="731.2"/>
    <s v="Dec"/>
    <s v="Low"/>
    <s v="Average"/>
    <n v="335.44000000000005"/>
    <n v="0.1"/>
    <n v="658.08"/>
  </r>
  <r>
    <x v="58"/>
    <x v="53"/>
    <x v="1"/>
    <s v="Running"/>
    <s v="White"/>
    <s v="France"/>
    <s v="Online"/>
    <n v="39.950000000000003"/>
    <n v="10"/>
    <n v="399.5"/>
    <s v="Oct"/>
    <s v="Low"/>
    <s v="Low"/>
    <n v="-331.70000000000005"/>
    <n v="0.1"/>
    <n v="359.55"/>
  </r>
  <r>
    <x v="59"/>
    <x v="54"/>
    <x v="3"/>
    <s v="Sports"/>
    <s v="Blue"/>
    <s v="India"/>
    <s v="Online"/>
    <n v="101.57"/>
    <n v="18"/>
    <n v="1828.26"/>
    <s v="Feb"/>
    <s v="Low"/>
    <s v="Good"/>
    <n v="1428.76"/>
    <n v="0.1"/>
    <n v="1645.434"/>
  </r>
  <r>
    <x v="60"/>
    <x v="55"/>
    <x v="1"/>
    <s v="Boots"/>
    <s v="Blue"/>
    <s v="India"/>
    <s v="Retail Store"/>
    <n v="115.51"/>
    <n v="7"/>
    <n v="808.57"/>
    <s v="Jun"/>
    <s v="Low"/>
    <s v="Average"/>
    <n v="-1019.6899999999999"/>
    <n v="0.1"/>
    <n v="727.71300000000008"/>
  </r>
  <r>
    <x v="61"/>
    <x v="56"/>
    <x v="0"/>
    <s v="Boots"/>
    <s v="Red"/>
    <s v="Saudi Arabia"/>
    <s v="Retail Store"/>
    <n v="89.7"/>
    <n v="2"/>
    <n v="179.4"/>
    <s v="May"/>
    <s v="Low"/>
    <s v="Low"/>
    <n v="-629.17000000000007"/>
    <n v="0.1"/>
    <n v="161.46"/>
  </r>
  <r>
    <x v="62"/>
    <x v="57"/>
    <x v="4"/>
    <s v="Casual"/>
    <s v="Green"/>
    <s v="France"/>
    <s v="Online"/>
    <n v="212.32"/>
    <n v="1"/>
    <n v="212.32"/>
    <s v="Jan"/>
    <s v="Low"/>
    <s v="Low"/>
    <n v="32.919999999999987"/>
    <n v="0.1"/>
    <n v="191.08799999999999"/>
  </r>
  <r>
    <x v="63"/>
    <x v="58"/>
    <x v="1"/>
    <s v="Formal"/>
    <s v="Grey"/>
    <s v="USA"/>
    <s v="Online"/>
    <n v="108.49"/>
    <n v="18"/>
    <n v="1952.82"/>
    <s v="Aug"/>
    <s v="Low"/>
    <s v="Good"/>
    <n v="1740.5"/>
    <n v="0.1"/>
    <n v="1757.538"/>
  </r>
  <r>
    <x v="64"/>
    <x v="59"/>
    <x v="2"/>
    <s v="Running"/>
    <s v="Blue"/>
    <s v="India"/>
    <s v="Mall"/>
    <n v="91.81"/>
    <n v="5"/>
    <n v="459.05"/>
    <s v="Feb"/>
    <s v="Low"/>
    <s v="Low"/>
    <n v="-1493.77"/>
    <n v="0.1"/>
    <n v="413.14500000000004"/>
  </r>
  <r>
    <x v="65"/>
    <x v="60"/>
    <x v="3"/>
    <s v="Running"/>
    <s v="Blue"/>
    <s v="France"/>
    <s v="Online"/>
    <n v="149.38999999999999"/>
    <n v="14"/>
    <n v="2091.46"/>
    <s v="Mar"/>
    <s v="High"/>
    <s v="Good"/>
    <n v="1632.41"/>
    <n v="0.1"/>
    <n v="1882.3140000000001"/>
  </r>
  <r>
    <x v="66"/>
    <x v="61"/>
    <x v="1"/>
    <s v="Casual"/>
    <s v="Green"/>
    <s v="USA"/>
    <s v="Retail Store"/>
    <n v="61"/>
    <n v="7"/>
    <n v="427"/>
    <s v="Jul"/>
    <s v="Low"/>
    <s v="Low"/>
    <n v="-1664.46"/>
    <n v="0.1"/>
    <n v="384.3"/>
  </r>
  <r>
    <x v="67"/>
    <x v="62"/>
    <x v="2"/>
    <s v="Boots"/>
    <s v="White"/>
    <s v="UK"/>
    <s v="Online"/>
    <n v="206.48"/>
    <n v="14"/>
    <n v="2890.72"/>
    <s v="Oct"/>
    <s v="High"/>
    <s v="Good"/>
    <n v="2463.7199999999998"/>
    <n v="0.1"/>
    <n v="2601.6479999999997"/>
  </r>
  <r>
    <x v="68"/>
    <x v="63"/>
    <x v="0"/>
    <s v="Casual"/>
    <s v="Green"/>
    <s v="France"/>
    <s v="Retail Store"/>
    <n v="46.4"/>
    <n v="14"/>
    <n v="649.6"/>
    <s v="Apr"/>
    <s v="Low"/>
    <s v="Average"/>
    <n v="-2241.12"/>
    <n v="0.1"/>
    <n v="584.64"/>
  </r>
  <r>
    <x v="69"/>
    <x v="34"/>
    <x v="4"/>
    <s v="Casual"/>
    <s v="Green"/>
    <s v="USA"/>
    <s v="Retail Store"/>
    <n v="247.12"/>
    <n v="8"/>
    <n v="1976.96"/>
    <s v="Dec"/>
    <s v="Low"/>
    <s v="Good"/>
    <n v="1327.3600000000001"/>
    <n v="0.1"/>
    <n v="1779.2640000000001"/>
  </r>
  <r>
    <x v="70"/>
    <x v="64"/>
    <x v="3"/>
    <s v="Casual"/>
    <s v="Red"/>
    <s v="France"/>
    <s v="Retail Store"/>
    <n v="199.89"/>
    <n v="16"/>
    <n v="3198.24"/>
    <s v="Jan"/>
    <s v="High"/>
    <s v="Excellent"/>
    <n v="1221.2799999999997"/>
    <n v="0.1"/>
    <n v="2878.4159999999997"/>
  </r>
  <r>
    <x v="71"/>
    <x v="65"/>
    <x v="0"/>
    <s v="Boots"/>
    <s v="White"/>
    <s v="Germany"/>
    <s v="Retail Store"/>
    <n v="73.72"/>
    <n v="8"/>
    <n v="589.76"/>
    <s v="Apr"/>
    <s v="Low"/>
    <s v="Average"/>
    <n v="-2608.4799999999996"/>
    <n v="0.1"/>
    <n v="530.78399999999999"/>
  </r>
  <r>
    <x v="72"/>
    <x v="66"/>
    <x v="4"/>
    <s v="Sports"/>
    <s v="Green"/>
    <s v="India"/>
    <s v="Retail Store"/>
    <n v="31.21"/>
    <n v="3"/>
    <n v="93.63"/>
    <s v="May"/>
    <s v="Low"/>
    <s v="Low"/>
    <n v="-496.13"/>
    <n v="0.1"/>
    <n v="84.266999999999996"/>
  </r>
  <r>
    <x v="73"/>
    <x v="67"/>
    <x v="4"/>
    <s v="Running"/>
    <s v="Black"/>
    <s v="France"/>
    <s v="Online"/>
    <n v="209.4"/>
    <n v="18"/>
    <n v="3769.2"/>
    <s v="Dec"/>
    <s v="High"/>
    <s v="Excellent"/>
    <n v="3675.5699999999997"/>
    <n v="0.1"/>
    <n v="3392.2799999999997"/>
  </r>
  <r>
    <x v="74"/>
    <x v="68"/>
    <x v="0"/>
    <s v="Running"/>
    <s v="Grey"/>
    <s v="Germany"/>
    <s v="Retail Store"/>
    <n v="185.51"/>
    <n v="9"/>
    <n v="1669.59"/>
    <s v="Oct"/>
    <s v="Low"/>
    <s v="Good"/>
    <n v="-2099.6099999999997"/>
    <n v="0.1"/>
    <n v="1502.6309999999999"/>
  </r>
  <r>
    <x v="75"/>
    <x v="69"/>
    <x v="2"/>
    <s v="Sneakers"/>
    <s v="Black"/>
    <s v="Germany"/>
    <s v="Mall"/>
    <n v="190.38"/>
    <n v="14"/>
    <n v="2665.32"/>
    <s v="Jun"/>
    <s v="High"/>
    <s v="Good"/>
    <n v="995.73000000000025"/>
    <n v="0.1"/>
    <n v="2398.788"/>
  </r>
  <r>
    <x v="76"/>
    <x v="70"/>
    <x v="0"/>
    <s v="Boots"/>
    <s v="Red"/>
    <s v="USA"/>
    <s v="Mall"/>
    <n v="199.68"/>
    <n v="9"/>
    <n v="1797.12"/>
    <s v="Apr"/>
    <s v="Low"/>
    <s v="Good"/>
    <n v="-868.20000000000027"/>
    <n v="0.1"/>
    <n v="1617.4079999999999"/>
  </r>
  <r>
    <x v="77"/>
    <x v="71"/>
    <x v="4"/>
    <s v="Formal"/>
    <s v="Black"/>
    <s v="UAE"/>
    <s v="Retail Store"/>
    <n v="46.29"/>
    <n v="7"/>
    <n v="324.02999999999997"/>
    <s v="Oct"/>
    <s v="Low"/>
    <s v="Low"/>
    <n v="-1473.09"/>
    <n v="0.1"/>
    <n v="291.62700000000001"/>
  </r>
  <r>
    <x v="78"/>
    <x v="72"/>
    <x v="1"/>
    <s v="Running"/>
    <s v="Green"/>
    <s v="France"/>
    <s v="Mall"/>
    <n v="108.86"/>
    <n v="11"/>
    <n v="1197.46"/>
    <s v="Nov"/>
    <s v="Low"/>
    <s v="Average"/>
    <n v="873.43000000000006"/>
    <n v="0.1"/>
    <n v="1077.7140000000002"/>
  </r>
  <r>
    <x v="79"/>
    <x v="73"/>
    <x v="4"/>
    <s v="Formal"/>
    <s v="Green"/>
    <s v="France"/>
    <s v="Mall"/>
    <n v="55.49"/>
    <n v="14"/>
    <n v="776.86"/>
    <s v="Jun"/>
    <s v="Low"/>
    <s v="Average"/>
    <n v="-420.6"/>
    <n v="0.1"/>
    <n v="699.17399999999998"/>
  </r>
  <r>
    <x v="80"/>
    <x v="74"/>
    <x v="5"/>
    <s v="Boots"/>
    <s v="Red"/>
    <s v="UAE"/>
    <s v="Mall"/>
    <n v="219.88"/>
    <n v="7"/>
    <n v="1539.16"/>
    <s v="Mar"/>
    <s v="Low"/>
    <s v="Good"/>
    <n v="762.30000000000007"/>
    <n v="0.1"/>
    <n v="1385.2440000000001"/>
  </r>
  <r>
    <x v="81"/>
    <x v="75"/>
    <x v="2"/>
    <s v="Sports"/>
    <s v="Red"/>
    <s v="India"/>
    <s v="Online"/>
    <n v="167.13"/>
    <n v="20"/>
    <n v="3342.6"/>
    <s v="Mar"/>
    <s v="High"/>
    <s v="Excellent"/>
    <n v="1803.4399999999998"/>
    <n v="0.1"/>
    <n v="3008.34"/>
  </r>
  <r>
    <x v="82"/>
    <x v="76"/>
    <x v="3"/>
    <s v="Formal"/>
    <s v="Grey"/>
    <s v="India"/>
    <s v="Mall"/>
    <n v="102.8"/>
    <n v="10"/>
    <n v="1028"/>
    <s v="Jun"/>
    <s v="Low"/>
    <s v="Average"/>
    <n v="-2314.6"/>
    <n v="0.1"/>
    <n v="925.2"/>
  </r>
  <r>
    <x v="83"/>
    <x v="77"/>
    <x v="5"/>
    <s v="Formal"/>
    <s v="Green"/>
    <s v="UK"/>
    <s v="Mall"/>
    <n v="43.98"/>
    <n v="15"/>
    <n v="659.7"/>
    <s v="Jun"/>
    <s v="Low"/>
    <s v="Average"/>
    <n v="-368.29999999999995"/>
    <n v="0.1"/>
    <n v="593.73"/>
  </r>
  <r>
    <x v="84"/>
    <x v="78"/>
    <x v="1"/>
    <s v="Running"/>
    <s v="Blue"/>
    <s v="India"/>
    <s v="Mall"/>
    <n v="98.42"/>
    <n v="6"/>
    <n v="590.52"/>
    <s v="Aug"/>
    <s v="Low"/>
    <s v="Average"/>
    <n v="-69.180000000000064"/>
    <n v="0.1"/>
    <n v="531.46799999999996"/>
  </r>
  <r>
    <x v="85"/>
    <x v="79"/>
    <x v="4"/>
    <s v="Running"/>
    <s v="White"/>
    <s v="UAE"/>
    <s v="Retail Store"/>
    <n v="101.54"/>
    <n v="20"/>
    <n v="2030.8"/>
    <s v="Nov"/>
    <s v="High"/>
    <s v="Good"/>
    <n v="1440.28"/>
    <n v="0.1"/>
    <n v="1827.72"/>
  </r>
  <r>
    <x v="86"/>
    <x v="80"/>
    <x v="3"/>
    <s v="Running"/>
    <s v="Black"/>
    <s v="UK"/>
    <s v="Retail Store"/>
    <n v="190.51"/>
    <n v="7"/>
    <n v="1333.57"/>
    <s v="Apr"/>
    <s v="Low"/>
    <s v="Average"/>
    <n v="-697.23"/>
    <n v="0.1"/>
    <n v="1200.213"/>
  </r>
  <r>
    <x v="87"/>
    <x v="81"/>
    <x v="5"/>
    <s v="Formal"/>
    <s v="Green"/>
    <s v="India"/>
    <s v="Online"/>
    <n v="170.26"/>
    <n v="3"/>
    <n v="510.78"/>
    <s v="Nov"/>
    <s v="Low"/>
    <s v="Average"/>
    <n v="-822.79"/>
    <n v="0.1"/>
    <n v="459.702"/>
  </r>
  <r>
    <x v="88"/>
    <x v="82"/>
    <x v="5"/>
    <s v="Formal"/>
    <s v="White"/>
    <s v="UK"/>
    <s v="Mall"/>
    <n v="225.19"/>
    <n v="13"/>
    <n v="2927.47"/>
    <s v="Dec"/>
    <s v="High"/>
    <s v="Good"/>
    <n v="2416.6899999999996"/>
    <n v="0.1"/>
    <n v="2634.723"/>
  </r>
  <r>
    <x v="89"/>
    <x v="83"/>
    <x v="0"/>
    <s v="Formal"/>
    <s v="White"/>
    <s v="UK"/>
    <s v="Mall"/>
    <n v="133.88999999999999"/>
    <n v="1"/>
    <n v="133.88999999999999"/>
    <s v="Dec"/>
    <s v="Low"/>
    <s v="Low"/>
    <n v="-2793.58"/>
    <n v="0.1"/>
    <n v="120.50099999999999"/>
  </r>
  <r>
    <x v="90"/>
    <x v="84"/>
    <x v="0"/>
    <s v="Sneakers"/>
    <s v="White"/>
    <s v="Saudi Arabia"/>
    <s v="Online"/>
    <n v="56.31"/>
    <n v="15"/>
    <n v="844.65"/>
    <s v="Sep"/>
    <s v="Low"/>
    <s v="Average"/>
    <n v="710.76"/>
    <n v="0.1"/>
    <n v="760.18499999999995"/>
  </r>
  <r>
    <x v="91"/>
    <x v="85"/>
    <x v="5"/>
    <s v="Boots"/>
    <s v="Grey"/>
    <s v="India"/>
    <s v="Mall"/>
    <n v="186.91"/>
    <n v="5"/>
    <n v="934.55"/>
    <s v="Aug"/>
    <s v="Low"/>
    <s v="Average"/>
    <n v="89.899999999999977"/>
    <n v="0.1"/>
    <n v="841.09500000000003"/>
  </r>
  <r>
    <x v="92"/>
    <x v="86"/>
    <x v="2"/>
    <s v="Boots"/>
    <s v="Grey"/>
    <s v="Germany"/>
    <s v="Mall"/>
    <n v="197.37"/>
    <n v="15"/>
    <n v="2960.55"/>
    <s v="Jun"/>
    <s v="High"/>
    <s v="Good"/>
    <n v="2026.0000000000002"/>
    <n v="0.1"/>
    <n v="2664.4950000000003"/>
  </r>
  <r>
    <x v="93"/>
    <x v="87"/>
    <x v="1"/>
    <s v="Formal"/>
    <s v="Red"/>
    <s v="France"/>
    <s v="Online"/>
    <n v="153.47999999999999"/>
    <n v="6"/>
    <n v="920.88"/>
    <s v="Aug"/>
    <s v="Low"/>
    <s v="Average"/>
    <n v="-2039.67"/>
    <n v="0.1"/>
    <n v="828.79200000000003"/>
  </r>
  <r>
    <x v="94"/>
    <x v="88"/>
    <x v="2"/>
    <s v="Formal"/>
    <s v="Green"/>
    <s v="UK"/>
    <s v="Retail Store"/>
    <n v="199.61"/>
    <n v="9"/>
    <n v="1796.49"/>
    <s v="Nov"/>
    <s v="Low"/>
    <s v="Good"/>
    <n v="875.61"/>
    <n v="0.1"/>
    <n v="1616.8410000000001"/>
  </r>
  <r>
    <x v="95"/>
    <x v="89"/>
    <x v="1"/>
    <s v="Sports"/>
    <s v="White"/>
    <s v="France"/>
    <s v="Retail Store"/>
    <n v="138.63999999999999"/>
    <n v="3"/>
    <n v="415.92"/>
    <s v="Aug"/>
    <s v="Low"/>
    <s v="Low"/>
    <n v="-1380.57"/>
    <n v="0.1"/>
    <n v="374.32800000000003"/>
  </r>
  <r>
    <x v="96"/>
    <x v="90"/>
    <x v="0"/>
    <s v="Casual"/>
    <s v="White"/>
    <s v="UK"/>
    <s v="Retail Store"/>
    <n v="145"/>
    <n v="18"/>
    <n v="2610"/>
    <s v="Jun"/>
    <s v="High"/>
    <s v="Good"/>
    <n v="2194.08"/>
    <n v="0.1"/>
    <n v="2349"/>
  </r>
  <r>
    <x v="97"/>
    <x v="91"/>
    <x v="1"/>
    <s v="Casual"/>
    <s v="Black"/>
    <s v="Germany"/>
    <s v="Retail Store"/>
    <n v="124.06"/>
    <n v="5"/>
    <n v="620.29999999999995"/>
    <s v="Dec"/>
    <s v="Low"/>
    <s v="Average"/>
    <n v="-1989.7"/>
    <n v="0.1"/>
    <n v="558.27"/>
  </r>
  <r>
    <x v="98"/>
    <x v="92"/>
    <x v="5"/>
    <s v="Formal"/>
    <s v="Black"/>
    <s v="UK"/>
    <s v="Retail Store"/>
    <n v="35.590000000000003"/>
    <n v="18"/>
    <n v="640.62"/>
    <s v="Jun"/>
    <s v="Low"/>
    <s v="Average"/>
    <n v="20.32000000000005"/>
    <n v="0.1"/>
    <n v="576.55799999999999"/>
  </r>
  <r>
    <x v="99"/>
    <x v="93"/>
    <x v="1"/>
    <s v="Running"/>
    <s v="Grey"/>
    <s v="Germany"/>
    <s v="Retail Store"/>
    <n v="53.74"/>
    <n v="19"/>
    <n v="1021.06"/>
    <s v="Jul"/>
    <s v="Low"/>
    <s v="Average"/>
    <n v="380.43999999999994"/>
    <n v="0.1"/>
    <n v="918.95399999999995"/>
  </r>
  <r>
    <x v="100"/>
    <x v="94"/>
    <x v="4"/>
    <s v="Formal"/>
    <s v="Red"/>
    <s v="India"/>
    <s v="Mall"/>
    <n v="36.909999999999997"/>
    <n v="12"/>
    <n v="442.92"/>
    <s v="Jan"/>
    <s v="Low"/>
    <s v="Low"/>
    <n v="-578.13999999999987"/>
    <n v="0.1"/>
    <n v="398.62800000000004"/>
  </r>
  <r>
    <x v="101"/>
    <x v="4"/>
    <x v="3"/>
    <s v="Formal"/>
    <s v="White"/>
    <s v="France"/>
    <s v="Retail Store"/>
    <n v="170.01"/>
    <n v="20"/>
    <n v="3400.2"/>
    <s v="Oct"/>
    <s v="High"/>
    <s v="Excellent"/>
    <n v="2957.2799999999997"/>
    <n v="0.1"/>
    <n v="3060.18"/>
  </r>
  <r>
    <x v="102"/>
    <x v="95"/>
    <x v="5"/>
    <s v="Sports"/>
    <s v="Green"/>
    <s v="UAE"/>
    <s v="Retail Store"/>
    <n v="99.16"/>
    <n v="1"/>
    <n v="99.16"/>
    <s v="Sep"/>
    <s v="Low"/>
    <s v="Low"/>
    <n v="-3301.04"/>
    <n v="0.1"/>
    <n v="89.244"/>
  </r>
  <r>
    <x v="103"/>
    <x v="96"/>
    <x v="3"/>
    <s v="Sneakers"/>
    <s v="Grey"/>
    <s v="USA"/>
    <s v="Retail Store"/>
    <n v="141.88999999999999"/>
    <n v="15"/>
    <n v="2128.35"/>
    <s v="Mar"/>
    <s v="High"/>
    <s v="Good"/>
    <n v="2029.1899999999998"/>
    <n v="0.1"/>
    <n v="1915.5149999999999"/>
  </r>
  <r>
    <x v="104"/>
    <x v="97"/>
    <x v="1"/>
    <s v="Running"/>
    <s v="Black"/>
    <s v="UAE"/>
    <s v="Retail Store"/>
    <n v="229.66"/>
    <n v="19"/>
    <n v="4363.54"/>
    <s v="Oct"/>
    <s v="High"/>
    <s v="Excellent"/>
    <n v="2235.19"/>
    <n v="0.1"/>
    <n v="3927.1860000000001"/>
  </r>
  <r>
    <x v="105"/>
    <x v="98"/>
    <x v="3"/>
    <s v="Running"/>
    <s v="Blue"/>
    <s v="Germany"/>
    <s v="Retail Store"/>
    <n v="84.84"/>
    <n v="15"/>
    <n v="1272.5999999999999"/>
    <s v="Mar"/>
    <s v="Low"/>
    <s v="Average"/>
    <n v="-3090.94"/>
    <n v="0.1"/>
    <n v="1145.3399999999999"/>
  </r>
  <r>
    <x v="106"/>
    <x v="99"/>
    <x v="4"/>
    <s v="Sports"/>
    <s v="Red"/>
    <s v="France"/>
    <s v="Retail Store"/>
    <n v="120.28"/>
    <n v="15"/>
    <n v="1804.2"/>
    <s v="Apr"/>
    <s v="Low"/>
    <s v="Good"/>
    <n v="531.60000000000014"/>
    <n v="0.1"/>
    <n v="1623.78"/>
  </r>
  <r>
    <x v="107"/>
    <x v="100"/>
    <x v="5"/>
    <s v="Running"/>
    <s v="Green"/>
    <s v="India"/>
    <s v="Online"/>
    <n v="196.22"/>
    <n v="3"/>
    <n v="588.66"/>
    <s v="May"/>
    <s v="Low"/>
    <s v="Average"/>
    <n v="-1215.54"/>
    <n v="0.1"/>
    <n v="529.79399999999998"/>
  </r>
  <r>
    <x v="108"/>
    <x v="101"/>
    <x v="1"/>
    <s v="Running"/>
    <s v="Green"/>
    <s v="USA"/>
    <s v="Online"/>
    <n v="80.34"/>
    <n v="8"/>
    <n v="642.72"/>
    <s v="Jun"/>
    <s v="Low"/>
    <s v="Average"/>
    <n v="54.060000000000059"/>
    <n v="0.1"/>
    <n v="578.44800000000009"/>
  </r>
  <r>
    <x v="109"/>
    <x v="102"/>
    <x v="0"/>
    <s v="Sneakers"/>
    <s v="White"/>
    <s v="UK"/>
    <s v="Online"/>
    <n v="46.94"/>
    <n v="7"/>
    <n v="328.58"/>
    <s v="May"/>
    <s v="Low"/>
    <s v="Low"/>
    <n v="-314.14000000000004"/>
    <n v="0.1"/>
    <n v="295.72199999999998"/>
  </r>
  <r>
    <x v="110"/>
    <x v="78"/>
    <x v="2"/>
    <s v="Casual"/>
    <s v="Red"/>
    <s v="UAE"/>
    <s v="Retail Store"/>
    <n v="93.75"/>
    <n v="4"/>
    <n v="375"/>
    <s v="Aug"/>
    <s v="Low"/>
    <s v="Low"/>
    <n v="46.420000000000016"/>
    <n v="0.1"/>
    <n v="337.5"/>
  </r>
  <r>
    <x v="111"/>
    <x v="103"/>
    <x v="2"/>
    <s v="Sneakers"/>
    <s v="Green"/>
    <s v="UAE"/>
    <s v="Online"/>
    <n v="65.47"/>
    <n v="6"/>
    <n v="392.82"/>
    <s v="Jul"/>
    <s v="Low"/>
    <s v="Low"/>
    <n v="17.819999999999993"/>
    <n v="0.1"/>
    <n v="353.53800000000001"/>
  </r>
  <r>
    <x v="112"/>
    <x v="104"/>
    <x v="0"/>
    <s v="Sneakers"/>
    <s v="Black"/>
    <s v="France"/>
    <s v="Mall"/>
    <n v="234.53"/>
    <n v="10"/>
    <n v="2345.3000000000002"/>
    <s v="Mar"/>
    <s v="High"/>
    <s v="Good"/>
    <n v="1952.4800000000002"/>
    <n v="0.1"/>
    <n v="2110.7700000000004"/>
  </r>
  <r>
    <x v="113"/>
    <x v="105"/>
    <x v="5"/>
    <s v="Boots"/>
    <s v="White"/>
    <s v="USA"/>
    <s v="Mall"/>
    <n v="207.79"/>
    <n v="13"/>
    <n v="2701.27"/>
    <s v="Dec"/>
    <s v="High"/>
    <s v="Good"/>
    <n v="355.9699999999998"/>
    <n v="0.1"/>
    <n v="2431.143"/>
  </r>
  <r>
    <x v="114"/>
    <x v="29"/>
    <x v="0"/>
    <s v="Boots"/>
    <s v="Blue"/>
    <s v="Saudi Arabia"/>
    <s v="Mall"/>
    <n v="169.35"/>
    <n v="8"/>
    <n v="1354.8"/>
    <s v="Dec"/>
    <s v="Low"/>
    <s v="Average"/>
    <n v="-1346.47"/>
    <n v="0.1"/>
    <n v="1219.32"/>
  </r>
  <r>
    <x v="115"/>
    <x v="106"/>
    <x v="2"/>
    <s v="Running"/>
    <s v="Blue"/>
    <s v="India"/>
    <s v="Retail Store"/>
    <n v="221.72"/>
    <n v="4"/>
    <n v="886.88"/>
    <s v="Nov"/>
    <s v="Low"/>
    <s v="Average"/>
    <n v="-467.91999999999996"/>
    <n v="0.1"/>
    <n v="798.19200000000001"/>
  </r>
  <r>
    <x v="116"/>
    <x v="107"/>
    <x v="0"/>
    <s v="Sneakers"/>
    <s v="Green"/>
    <s v="France"/>
    <s v="Online"/>
    <n v="206.81"/>
    <n v="12"/>
    <n v="2481.7199999999998"/>
    <s v="Dec"/>
    <s v="High"/>
    <s v="Good"/>
    <n v="1594.8399999999997"/>
    <n v="0.1"/>
    <n v="2233.5479999999998"/>
  </r>
  <r>
    <x v="117"/>
    <x v="108"/>
    <x v="0"/>
    <s v="Formal"/>
    <s v="Blue"/>
    <s v="UAE"/>
    <s v="Retail Store"/>
    <n v="71.05"/>
    <n v="16"/>
    <n v="1136.8"/>
    <s v="Aug"/>
    <s v="Low"/>
    <s v="Average"/>
    <n v="-1344.9199999999998"/>
    <n v="0.1"/>
    <n v="1023.12"/>
  </r>
  <r>
    <x v="118"/>
    <x v="109"/>
    <x v="5"/>
    <s v="Casual"/>
    <s v="Green"/>
    <s v="India"/>
    <s v="Mall"/>
    <n v="226.36"/>
    <n v="5"/>
    <n v="1131.8"/>
    <s v="Dec"/>
    <s v="Low"/>
    <s v="Average"/>
    <n v="-5"/>
    <n v="0.1"/>
    <n v="1018.62"/>
  </r>
  <r>
    <x v="119"/>
    <x v="110"/>
    <x v="2"/>
    <s v="Formal"/>
    <s v="Red"/>
    <s v="Germany"/>
    <s v="Mall"/>
    <n v="148.66"/>
    <n v="20"/>
    <n v="2973.2"/>
    <s v="May"/>
    <s v="High"/>
    <s v="Good"/>
    <n v="1841.3999999999999"/>
    <n v="0.1"/>
    <n v="2675.88"/>
  </r>
  <r>
    <x v="120"/>
    <x v="97"/>
    <x v="4"/>
    <s v="Casual"/>
    <s v="Black"/>
    <s v="France"/>
    <s v="Retail Store"/>
    <n v="207.64"/>
    <n v="9"/>
    <n v="1868.76"/>
    <s v="Oct"/>
    <s v="Low"/>
    <s v="Good"/>
    <n v="-1104.4399999999998"/>
    <n v="0.1"/>
    <n v="1681.884"/>
  </r>
  <r>
    <x v="121"/>
    <x v="111"/>
    <x v="2"/>
    <s v="Sneakers"/>
    <s v="Green"/>
    <s v="Germany"/>
    <s v="Retail Store"/>
    <n v="227.14"/>
    <n v="15"/>
    <n v="3407.1"/>
    <s v="May"/>
    <s v="High"/>
    <s v="Excellent"/>
    <n v="1538.34"/>
    <n v="0.1"/>
    <n v="3066.39"/>
  </r>
  <r>
    <x v="122"/>
    <x v="112"/>
    <x v="4"/>
    <s v="Casual"/>
    <s v="Red"/>
    <s v="UK"/>
    <s v="Retail Store"/>
    <n v="99.96"/>
    <n v="16"/>
    <n v="1599.36"/>
    <s v="Jan"/>
    <s v="Low"/>
    <s v="Good"/>
    <n v="-1807.74"/>
    <n v="0.1"/>
    <n v="1439.424"/>
  </r>
  <r>
    <x v="123"/>
    <x v="113"/>
    <x v="4"/>
    <s v="Sneakers"/>
    <s v="Green"/>
    <s v="France"/>
    <s v="Mall"/>
    <n v="54.21"/>
    <n v="11"/>
    <n v="596.30999999999995"/>
    <s v="May"/>
    <s v="Low"/>
    <s v="Average"/>
    <n v="-1003.05"/>
    <n v="0.1"/>
    <n v="536.67899999999997"/>
  </r>
  <r>
    <x v="124"/>
    <x v="114"/>
    <x v="3"/>
    <s v="Running"/>
    <s v="White"/>
    <s v="UAE"/>
    <s v="Retail Store"/>
    <n v="80.150000000000006"/>
    <n v="17"/>
    <n v="1362.55"/>
    <s v="Jan"/>
    <s v="Low"/>
    <s v="Average"/>
    <n v="766.24"/>
    <n v="0.1"/>
    <n v="1226.2950000000001"/>
  </r>
  <r>
    <x v="125"/>
    <x v="115"/>
    <x v="3"/>
    <s v="Boots"/>
    <s v="Red"/>
    <s v="UAE"/>
    <s v="Mall"/>
    <n v="123.96"/>
    <n v="18"/>
    <n v="2231.2800000000002"/>
    <s v="Sep"/>
    <s v="High"/>
    <s v="Good"/>
    <n v="868.73000000000025"/>
    <n v="0.1"/>
    <n v="2008.1520000000003"/>
  </r>
  <r>
    <x v="126"/>
    <x v="116"/>
    <x v="0"/>
    <s v="Running"/>
    <s v="Blue"/>
    <s v="UK"/>
    <s v="Retail Store"/>
    <n v="209.96"/>
    <n v="15"/>
    <n v="3149.4"/>
    <s v="Sep"/>
    <s v="High"/>
    <s v="Excellent"/>
    <n v="918.11999999999989"/>
    <n v="0.1"/>
    <n v="2834.46"/>
  </r>
  <r>
    <x v="127"/>
    <x v="117"/>
    <x v="4"/>
    <s v="Boots"/>
    <s v="Grey"/>
    <s v="France"/>
    <s v="Retail Store"/>
    <n v="219.36"/>
    <n v="8"/>
    <n v="1754.88"/>
    <s v="Dec"/>
    <s v="Low"/>
    <s v="Good"/>
    <n v="-1394.52"/>
    <n v="0.1"/>
    <n v="1579.3920000000001"/>
  </r>
  <r>
    <x v="128"/>
    <x v="53"/>
    <x v="4"/>
    <s v="Formal"/>
    <s v="Green"/>
    <s v="India"/>
    <s v="Retail Store"/>
    <n v="31.53"/>
    <n v="17"/>
    <n v="536.01"/>
    <s v="Oct"/>
    <s v="Low"/>
    <s v="Average"/>
    <n v="-1218.8700000000001"/>
    <n v="0.1"/>
    <n v="482.40899999999999"/>
  </r>
  <r>
    <x v="129"/>
    <x v="118"/>
    <x v="4"/>
    <s v="Sports"/>
    <s v="Blue"/>
    <s v="UK"/>
    <s v="Online"/>
    <n v="142.36000000000001"/>
    <n v="15"/>
    <n v="2135.4"/>
    <s v="Jun"/>
    <s v="High"/>
    <s v="Good"/>
    <n v="1599.39"/>
    <n v="0.1"/>
    <n v="1921.8600000000001"/>
  </r>
  <r>
    <x v="130"/>
    <x v="119"/>
    <x v="0"/>
    <s v="Boots"/>
    <s v="Grey"/>
    <s v="Saudi Arabia"/>
    <s v="Mall"/>
    <n v="121.83"/>
    <n v="11"/>
    <n v="1340.13"/>
    <s v="Apr"/>
    <s v="Low"/>
    <s v="Average"/>
    <n v="-795.27"/>
    <n v="0.1"/>
    <n v="1206.1170000000002"/>
  </r>
  <r>
    <x v="131"/>
    <x v="120"/>
    <x v="3"/>
    <s v="Boots"/>
    <s v="Red"/>
    <s v="France"/>
    <s v="Mall"/>
    <n v="78.86"/>
    <n v="7"/>
    <n v="552.02"/>
    <s v="Apr"/>
    <s v="Low"/>
    <s v="Average"/>
    <n v="-788.11000000000013"/>
    <n v="0.1"/>
    <n v="496.81799999999998"/>
  </r>
  <r>
    <x v="132"/>
    <x v="121"/>
    <x v="2"/>
    <s v="Sports"/>
    <s v="Black"/>
    <s v="Saudi Arabia"/>
    <s v="Online"/>
    <n v="56.37"/>
    <n v="17"/>
    <n v="958.29"/>
    <s v="Oct"/>
    <s v="Low"/>
    <s v="Average"/>
    <n v="406.27"/>
    <n v="0.1"/>
    <n v="862.46100000000001"/>
  </r>
  <r>
    <x v="133"/>
    <x v="122"/>
    <x v="4"/>
    <s v="Casual"/>
    <s v="Blue"/>
    <s v="USA"/>
    <s v="Mall"/>
    <n v="104.28"/>
    <n v="8"/>
    <n v="834.24"/>
    <s v="Jun"/>
    <s v="Low"/>
    <s v="Average"/>
    <n v="-124.04999999999995"/>
    <n v="0.1"/>
    <n v="750.81600000000003"/>
  </r>
  <r>
    <x v="134"/>
    <x v="123"/>
    <x v="4"/>
    <s v="Running"/>
    <s v="Black"/>
    <s v="India"/>
    <s v="Retail Store"/>
    <n v="237.44"/>
    <n v="5"/>
    <n v="1187.2"/>
    <s v="Oct"/>
    <s v="Low"/>
    <s v="Average"/>
    <n v="352.96000000000004"/>
    <n v="0.1"/>
    <n v="1068.48"/>
  </r>
  <r>
    <x v="135"/>
    <x v="124"/>
    <x v="1"/>
    <s v="Formal"/>
    <s v="Black"/>
    <s v="Saudi Arabia"/>
    <s v="Online"/>
    <n v="101.1"/>
    <n v="5"/>
    <n v="505.5"/>
    <s v="Dec"/>
    <s v="Low"/>
    <s v="Average"/>
    <n v="-681.7"/>
    <n v="0.1"/>
    <n v="454.95"/>
  </r>
  <r>
    <x v="136"/>
    <x v="125"/>
    <x v="5"/>
    <s v="Formal"/>
    <s v="Red"/>
    <s v="France"/>
    <s v="Online"/>
    <n v="144.13"/>
    <n v="10"/>
    <n v="1441.3"/>
    <s v="Oct"/>
    <s v="Low"/>
    <s v="Average"/>
    <n v="935.8"/>
    <n v="0.1"/>
    <n v="1297.17"/>
  </r>
  <r>
    <x v="137"/>
    <x v="126"/>
    <x v="5"/>
    <s v="Running"/>
    <s v="Black"/>
    <s v="Germany"/>
    <s v="Retail Store"/>
    <n v="184.66"/>
    <n v="9"/>
    <n v="1661.94"/>
    <s v="Jan"/>
    <s v="Low"/>
    <s v="Good"/>
    <n v="220.6400000000001"/>
    <n v="0.1"/>
    <n v="1495.7460000000001"/>
  </r>
  <r>
    <x v="138"/>
    <x v="50"/>
    <x v="1"/>
    <s v="Boots"/>
    <s v="Black"/>
    <s v="UK"/>
    <s v="Online"/>
    <n v="110"/>
    <n v="19"/>
    <n v="2090"/>
    <s v="Feb"/>
    <s v="High"/>
    <s v="Good"/>
    <n v="428.05999999999995"/>
    <n v="0.1"/>
    <n v="1881"/>
  </r>
  <r>
    <x v="139"/>
    <x v="127"/>
    <x v="0"/>
    <s v="Casual"/>
    <s v="Black"/>
    <s v="India"/>
    <s v="Retail Store"/>
    <n v="243.79"/>
    <n v="10"/>
    <n v="2437.9"/>
    <s v="Oct"/>
    <s v="High"/>
    <s v="Good"/>
    <n v="347.90000000000009"/>
    <n v="0.1"/>
    <n v="2194.11"/>
  </r>
  <r>
    <x v="140"/>
    <x v="128"/>
    <x v="2"/>
    <s v="Casual"/>
    <s v="Grey"/>
    <s v="Germany"/>
    <s v="Retail Store"/>
    <n v="241.74"/>
    <n v="20"/>
    <n v="4834.8"/>
    <s v="Nov"/>
    <s v="High"/>
    <s v="Excellent"/>
    <n v="2396.9"/>
    <n v="0.1"/>
    <n v="4351.3200000000006"/>
  </r>
  <r>
    <x v="141"/>
    <x v="58"/>
    <x v="2"/>
    <s v="Formal"/>
    <s v="Blue"/>
    <s v="India"/>
    <s v="Mall"/>
    <n v="85.39"/>
    <n v="10"/>
    <n v="853.9"/>
    <s v="Aug"/>
    <s v="Low"/>
    <s v="Average"/>
    <n v="-3980.9"/>
    <n v="0.1"/>
    <n v="768.51"/>
  </r>
  <r>
    <x v="142"/>
    <x v="41"/>
    <x v="1"/>
    <s v="Running"/>
    <s v="White"/>
    <s v="UAE"/>
    <s v="Online"/>
    <n v="139.38999999999999"/>
    <n v="20"/>
    <n v="2787.8"/>
    <s v="Jan"/>
    <s v="High"/>
    <s v="Good"/>
    <n v="1933.9"/>
    <n v="0.1"/>
    <n v="2509.0200000000004"/>
  </r>
  <r>
    <x v="143"/>
    <x v="49"/>
    <x v="3"/>
    <s v="Casual"/>
    <s v="White"/>
    <s v="India"/>
    <s v="Online"/>
    <n v="96.19"/>
    <n v="3"/>
    <n v="288.57"/>
    <s v="May"/>
    <s v="Low"/>
    <s v="Low"/>
    <n v="-2499.23"/>
    <n v="0.1"/>
    <n v="259.71300000000002"/>
  </r>
  <r>
    <x v="144"/>
    <x v="129"/>
    <x v="5"/>
    <s v="Formal"/>
    <s v="Green"/>
    <s v="India"/>
    <s v="Retail Store"/>
    <n v="92.66"/>
    <n v="1"/>
    <n v="92.66"/>
    <s v="Mar"/>
    <s v="Low"/>
    <s v="Low"/>
    <n v="-195.91"/>
    <n v="0.1"/>
    <n v="83.394000000000005"/>
  </r>
  <r>
    <x v="145"/>
    <x v="130"/>
    <x v="3"/>
    <s v="Sports"/>
    <s v="Green"/>
    <s v="France"/>
    <s v="Mall"/>
    <n v="38.119999999999997"/>
    <n v="2"/>
    <n v="76.239999999999995"/>
    <s v="May"/>
    <s v="Low"/>
    <s v="Low"/>
    <n v="-16.420000000000002"/>
    <n v="0.1"/>
    <n v="68.616"/>
  </r>
  <r>
    <x v="146"/>
    <x v="131"/>
    <x v="1"/>
    <s v="Casual"/>
    <s v="Blue"/>
    <s v="Saudi Arabia"/>
    <s v="Mall"/>
    <n v="164.1"/>
    <n v="3"/>
    <n v="492.3"/>
    <s v="Aug"/>
    <s v="Low"/>
    <s v="Low"/>
    <n v="416.06"/>
    <n v="0.1"/>
    <n v="443.07"/>
  </r>
  <r>
    <x v="147"/>
    <x v="121"/>
    <x v="5"/>
    <s v="Running"/>
    <s v="Grey"/>
    <s v="UK"/>
    <s v="Mall"/>
    <n v="140.59"/>
    <n v="7"/>
    <n v="984.13"/>
    <s v="Oct"/>
    <s v="Low"/>
    <s v="Average"/>
    <n v="491.83"/>
    <n v="0.1"/>
    <n v="885.71699999999998"/>
  </r>
  <r>
    <x v="148"/>
    <x v="132"/>
    <x v="3"/>
    <s v="Running"/>
    <s v="Black"/>
    <s v="UK"/>
    <s v="Retail Store"/>
    <n v="41.33"/>
    <n v="9"/>
    <n v="371.97"/>
    <s v="Mar"/>
    <s v="Low"/>
    <s v="Low"/>
    <n v="-612.16"/>
    <n v="0.1"/>
    <n v="334.77300000000002"/>
  </r>
  <r>
    <x v="149"/>
    <x v="133"/>
    <x v="4"/>
    <s v="Formal"/>
    <s v="Black"/>
    <s v="Germany"/>
    <s v="Mall"/>
    <n v="91.3"/>
    <n v="19"/>
    <n v="1734.7"/>
    <s v="Nov"/>
    <s v="Low"/>
    <s v="Good"/>
    <n v="1362.73"/>
    <n v="0.1"/>
    <n v="1561.23"/>
  </r>
  <r>
    <x v="150"/>
    <x v="76"/>
    <x v="4"/>
    <s v="Sneakers"/>
    <s v="Grey"/>
    <s v="Germany"/>
    <s v="Retail Store"/>
    <n v="229.82"/>
    <n v="13"/>
    <n v="2987.66"/>
    <s v="Jun"/>
    <s v="High"/>
    <s v="Good"/>
    <n v="1252.9599999999998"/>
    <n v="0.1"/>
    <n v="2688.8939999999998"/>
  </r>
  <r>
    <x v="151"/>
    <x v="134"/>
    <x v="0"/>
    <s v="Formal"/>
    <s v="Green"/>
    <s v="France"/>
    <s v="Mall"/>
    <n v="82.7"/>
    <n v="20"/>
    <n v="1654"/>
    <s v="Feb"/>
    <s v="Low"/>
    <s v="Good"/>
    <n v="-1333.6599999999999"/>
    <n v="0.1"/>
    <n v="1488.6000000000001"/>
  </r>
  <r>
    <x v="152"/>
    <x v="56"/>
    <x v="0"/>
    <s v="Casual"/>
    <s v="Green"/>
    <s v="Saudi Arabia"/>
    <s v="Mall"/>
    <n v="61.88"/>
    <n v="1"/>
    <n v="61.88"/>
    <s v="May"/>
    <s v="Low"/>
    <s v="Low"/>
    <n v="-1592.12"/>
    <n v="0.1"/>
    <n v="55.692"/>
  </r>
  <r>
    <x v="153"/>
    <x v="135"/>
    <x v="1"/>
    <s v="Sports"/>
    <s v="Grey"/>
    <s v="USA"/>
    <s v="Online"/>
    <n v="137.68"/>
    <n v="1"/>
    <n v="137.68"/>
    <s v="Oct"/>
    <s v="Low"/>
    <s v="Low"/>
    <n v="75.800000000000011"/>
    <n v="0.1"/>
    <n v="123.91200000000001"/>
  </r>
  <r>
    <x v="154"/>
    <x v="136"/>
    <x v="1"/>
    <s v="Formal"/>
    <s v="Blue"/>
    <s v="UK"/>
    <s v="Mall"/>
    <n v="246.84"/>
    <n v="17"/>
    <n v="4196.28"/>
    <s v="Aug"/>
    <s v="High"/>
    <s v="Excellent"/>
    <n v="4058.6"/>
    <n v="0.1"/>
    <n v="3776.652"/>
  </r>
  <r>
    <x v="155"/>
    <x v="137"/>
    <x v="0"/>
    <s v="Formal"/>
    <s v="Blue"/>
    <s v="Germany"/>
    <s v="Retail Store"/>
    <n v="83.25"/>
    <n v="16"/>
    <n v="1332"/>
    <s v="Aug"/>
    <s v="Low"/>
    <s v="Average"/>
    <n v="-2864.2799999999997"/>
    <n v="0.1"/>
    <n v="1198.8"/>
  </r>
  <r>
    <x v="156"/>
    <x v="77"/>
    <x v="3"/>
    <s v="Sports"/>
    <s v="Red"/>
    <s v="UAE"/>
    <s v="Retail Store"/>
    <n v="177.87"/>
    <n v="4"/>
    <n v="711.48"/>
    <s v="Jun"/>
    <s v="Low"/>
    <s v="Average"/>
    <n v="-620.52"/>
    <n v="0.1"/>
    <n v="640.33199999999999"/>
  </r>
  <r>
    <x v="157"/>
    <x v="138"/>
    <x v="2"/>
    <s v="Running"/>
    <s v="Red"/>
    <s v="USA"/>
    <s v="Retail Store"/>
    <n v="197.56"/>
    <n v="13"/>
    <n v="2568.2800000000002"/>
    <s v="May"/>
    <s v="High"/>
    <s v="Good"/>
    <n v="1856.8000000000002"/>
    <n v="0.1"/>
    <n v="2311.4520000000002"/>
  </r>
  <r>
    <x v="158"/>
    <x v="100"/>
    <x v="0"/>
    <s v="Formal"/>
    <s v="Grey"/>
    <s v="Saudi Arabia"/>
    <s v="Online"/>
    <n v="82.28"/>
    <n v="11"/>
    <n v="905.08"/>
    <s v="May"/>
    <s v="Low"/>
    <s v="Average"/>
    <n v="-1663.2000000000003"/>
    <n v="0.1"/>
    <n v="814.572"/>
  </r>
  <r>
    <x v="159"/>
    <x v="139"/>
    <x v="5"/>
    <s v="Formal"/>
    <s v="Black"/>
    <s v="UK"/>
    <s v="Mall"/>
    <n v="190.21"/>
    <n v="18"/>
    <n v="3423.78"/>
    <s v="Dec"/>
    <s v="High"/>
    <s v="Excellent"/>
    <n v="2518.7000000000003"/>
    <n v="0.1"/>
    <n v="3081.402"/>
  </r>
  <r>
    <x v="160"/>
    <x v="140"/>
    <x v="5"/>
    <s v="Boots"/>
    <s v="Red"/>
    <s v="Saudi Arabia"/>
    <s v="Online"/>
    <n v="110.91"/>
    <n v="20"/>
    <n v="2218.1999999999998"/>
    <s v="Jul"/>
    <s v="High"/>
    <s v="Good"/>
    <n v="-1205.5800000000004"/>
    <n v="0.1"/>
    <n v="1996.3799999999999"/>
  </r>
  <r>
    <x v="161"/>
    <x v="141"/>
    <x v="2"/>
    <s v="Casual"/>
    <s v="Blue"/>
    <s v="Germany"/>
    <s v="Mall"/>
    <n v="169.11"/>
    <n v="9"/>
    <n v="1521.99"/>
    <s v="Apr"/>
    <s v="Low"/>
    <s v="Good"/>
    <n v="-696.20999999999981"/>
    <n v="0.1"/>
    <n v="1369.7909999999999"/>
  </r>
  <r>
    <x v="162"/>
    <x v="95"/>
    <x v="0"/>
    <s v="Boots"/>
    <s v="Grey"/>
    <s v="Saudi Arabia"/>
    <s v="Online"/>
    <n v="169.38"/>
    <n v="4"/>
    <n v="677.52"/>
    <s v="Sep"/>
    <s v="Low"/>
    <s v="Average"/>
    <n v="-844.47"/>
    <n v="0.1"/>
    <n v="609.76800000000003"/>
  </r>
  <r>
    <x v="163"/>
    <x v="142"/>
    <x v="4"/>
    <s v="Sneakers"/>
    <s v="Black"/>
    <s v="India"/>
    <s v="Retail Store"/>
    <n v="147.87"/>
    <n v="6"/>
    <n v="887.22"/>
    <s v="Dec"/>
    <s v="Low"/>
    <s v="Average"/>
    <n v="209.70000000000005"/>
    <n v="0.1"/>
    <n v="798.49800000000005"/>
  </r>
  <r>
    <x v="164"/>
    <x v="143"/>
    <x v="0"/>
    <s v="Formal"/>
    <s v="Black"/>
    <s v="UAE"/>
    <s v="Online"/>
    <n v="49.86"/>
    <n v="8"/>
    <n v="398.88"/>
    <s v="Feb"/>
    <s v="Low"/>
    <s v="Low"/>
    <n v="-488.34000000000003"/>
    <n v="0.1"/>
    <n v="358.99200000000002"/>
  </r>
  <r>
    <x v="165"/>
    <x v="144"/>
    <x v="2"/>
    <s v="Boots"/>
    <s v="Blue"/>
    <s v="Germany"/>
    <s v="Retail Store"/>
    <n v="213.77"/>
    <n v="10"/>
    <n v="2137.6999999999998"/>
    <s v="Sep"/>
    <s v="High"/>
    <s v="Good"/>
    <n v="1738.8199999999997"/>
    <n v="0.1"/>
    <n v="1923.9299999999998"/>
  </r>
  <r>
    <x v="166"/>
    <x v="145"/>
    <x v="5"/>
    <s v="Sneakers"/>
    <s v="White"/>
    <s v="Germany"/>
    <s v="Online"/>
    <n v="100.57"/>
    <n v="8"/>
    <n v="804.56"/>
    <s v="Aug"/>
    <s v="Low"/>
    <s v="Average"/>
    <n v="-1333.1399999999999"/>
    <n v="0.1"/>
    <n v="724.10399999999993"/>
  </r>
  <r>
    <x v="167"/>
    <x v="146"/>
    <x v="1"/>
    <s v="Casual"/>
    <s v="Black"/>
    <s v="France"/>
    <s v="Retail Store"/>
    <n v="71.03"/>
    <n v="17"/>
    <n v="1207.51"/>
    <s v="Nov"/>
    <s v="Low"/>
    <s v="Average"/>
    <n v="402.95000000000005"/>
    <n v="0.1"/>
    <n v="1086.759"/>
  </r>
  <r>
    <x v="168"/>
    <x v="22"/>
    <x v="4"/>
    <s v="Running"/>
    <s v="Blue"/>
    <s v="UAE"/>
    <s v="Retail Store"/>
    <n v="38.97"/>
    <n v="17"/>
    <n v="662.49"/>
    <s v="Jun"/>
    <s v="Low"/>
    <s v="Average"/>
    <n v="-545.02"/>
    <n v="0.1"/>
    <n v="596.24099999999999"/>
  </r>
  <r>
    <x v="169"/>
    <x v="135"/>
    <x v="1"/>
    <s v="Formal"/>
    <s v="White"/>
    <s v="Germany"/>
    <s v="Mall"/>
    <n v="160"/>
    <n v="19"/>
    <n v="3040"/>
    <s v="Oct"/>
    <s v="High"/>
    <s v="Excellent"/>
    <n v="2377.5100000000002"/>
    <n v="0.1"/>
    <n v="2736"/>
  </r>
  <r>
    <x v="170"/>
    <x v="147"/>
    <x v="4"/>
    <s v="Sneakers"/>
    <s v="Grey"/>
    <s v="Germany"/>
    <s v="Retail Store"/>
    <n v="179.06"/>
    <n v="12"/>
    <n v="2148.7199999999998"/>
    <s v="Sep"/>
    <s v="High"/>
    <s v="Good"/>
    <n v="-891.2800000000002"/>
    <n v="0.1"/>
    <n v="1933.848"/>
  </r>
  <r>
    <x v="171"/>
    <x v="77"/>
    <x v="1"/>
    <s v="Casual"/>
    <s v="Grey"/>
    <s v="Germany"/>
    <s v="Online"/>
    <n v="33.65"/>
    <n v="7"/>
    <n v="235.55"/>
    <s v="Jun"/>
    <s v="Low"/>
    <s v="Low"/>
    <n v="-1913.1699999999998"/>
    <n v="0.1"/>
    <n v="211.995"/>
  </r>
  <r>
    <x v="172"/>
    <x v="148"/>
    <x v="4"/>
    <s v="Boots"/>
    <s v="Red"/>
    <s v="UAE"/>
    <s v="Retail Store"/>
    <n v="142.66"/>
    <n v="2"/>
    <n v="285.32"/>
    <s v="Jul"/>
    <s v="Low"/>
    <s v="Low"/>
    <n v="49.769999999999982"/>
    <n v="0.1"/>
    <n v="256.78800000000001"/>
  </r>
  <r>
    <x v="173"/>
    <x v="149"/>
    <x v="5"/>
    <s v="Running"/>
    <s v="White"/>
    <s v="India"/>
    <s v="Mall"/>
    <n v="79.83"/>
    <n v="5"/>
    <n v="399.15"/>
    <s v="Jul"/>
    <s v="Low"/>
    <s v="Low"/>
    <n v="113.82999999999998"/>
    <n v="0.1"/>
    <n v="359.23500000000001"/>
  </r>
  <r>
    <x v="174"/>
    <x v="92"/>
    <x v="5"/>
    <s v="Running"/>
    <s v="Grey"/>
    <s v="Germany"/>
    <s v="Online"/>
    <n v="171.94"/>
    <n v="4"/>
    <n v="687.76"/>
    <s v="Jun"/>
    <s v="Low"/>
    <s v="Average"/>
    <n v="288.61"/>
    <n v="0.1"/>
    <n v="618.98400000000004"/>
  </r>
  <r>
    <x v="175"/>
    <x v="16"/>
    <x v="1"/>
    <s v="Casual"/>
    <s v="Black"/>
    <s v="Germany"/>
    <s v="Retail Store"/>
    <n v="68.36"/>
    <n v="14"/>
    <n v="957.04"/>
    <s v="Mar"/>
    <s v="Low"/>
    <s v="Average"/>
    <n v="269.27999999999997"/>
    <n v="0.1"/>
    <n v="861.33600000000001"/>
  </r>
  <r>
    <x v="176"/>
    <x v="150"/>
    <x v="1"/>
    <s v="Formal"/>
    <s v="Green"/>
    <s v="USA"/>
    <s v="Retail Store"/>
    <n v="182.01"/>
    <n v="20"/>
    <n v="3640.2"/>
    <s v="Jun"/>
    <s v="High"/>
    <s v="Excellent"/>
    <n v="2683.16"/>
    <n v="0.1"/>
    <n v="3276.18"/>
  </r>
  <r>
    <x v="177"/>
    <x v="151"/>
    <x v="5"/>
    <s v="Sports"/>
    <s v="Green"/>
    <s v="UAE"/>
    <s v="Retail Store"/>
    <n v="115.08"/>
    <n v="18"/>
    <n v="2071.44"/>
    <s v="Dec"/>
    <s v="High"/>
    <s v="Good"/>
    <n v="-1568.7599999999998"/>
    <n v="0.1"/>
    <n v="1864.296"/>
  </r>
  <r>
    <x v="178"/>
    <x v="44"/>
    <x v="2"/>
    <s v="Running"/>
    <s v="White"/>
    <s v="UAE"/>
    <s v="Mall"/>
    <n v="236.08"/>
    <n v="2"/>
    <n v="472.16"/>
    <s v="Oct"/>
    <s v="Low"/>
    <s v="Low"/>
    <n v="-1599.28"/>
    <n v="0.1"/>
    <n v="424.94400000000002"/>
  </r>
  <r>
    <x v="179"/>
    <x v="138"/>
    <x v="1"/>
    <s v="Running"/>
    <s v="Red"/>
    <s v="USA"/>
    <s v="Mall"/>
    <n v="60.25"/>
    <n v="8"/>
    <n v="482"/>
    <s v="May"/>
    <s v="Low"/>
    <s v="Low"/>
    <n v="9.839999999999975"/>
    <n v="0.1"/>
    <n v="433.8"/>
  </r>
  <r>
    <x v="180"/>
    <x v="52"/>
    <x v="5"/>
    <s v="Casual"/>
    <s v="Green"/>
    <s v="France"/>
    <s v="Online"/>
    <n v="105.03"/>
    <n v="4"/>
    <n v="420.12"/>
    <s v="Dec"/>
    <s v="Low"/>
    <s v="Low"/>
    <n v="-61.879999999999995"/>
    <n v="0.1"/>
    <n v="378.108"/>
  </r>
  <r>
    <x v="181"/>
    <x v="152"/>
    <x v="0"/>
    <s v="Sports"/>
    <s v="Blue"/>
    <s v="France"/>
    <s v="Retail Store"/>
    <n v="54.96"/>
    <n v="11"/>
    <n v="604.55999999999995"/>
    <s v="Jan"/>
    <s v="Low"/>
    <s v="Average"/>
    <n v="184.43999999999994"/>
    <n v="0.1"/>
    <n v="544.10399999999993"/>
  </r>
  <r>
    <x v="182"/>
    <x v="153"/>
    <x v="2"/>
    <s v="Formal"/>
    <s v="Grey"/>
    <s v="UAE"/>
    <s v="Online"/>
    <n v="233.43"/>
    <n v="8"/>
    <n v="1867.44"/>
    <s v="Mar"/>
    <s v="Low"/>
    <s v="Good"/>
    <n v="1262.8800000000001"/>
    <n v="0.1"/>
    <n v="1680.6960000000001"/>
  </r>
  <r>
    <x v="183"/>
    <x v="154"/>
    <x v="0"/>
    <s v="Sneakers"/>
    <s v="Red"/>
    <s v="India"/>
    <s v="Mall"/>
    <n v="223.01"/>
    <n v="6"/>
    <n v="1338.06"/>
    <s v="Mar"/>
    <s v="Low"/>
    <s v="Average"/>
    <n v="-529.38000000000011"/>
    <n v="0.1"/>
    <n v="1204.2539999999999"/>
  </r>
  <r>
    <x v="184"/>
    <x v="155"/>
    <x v="2"/>
    <s v="Casual"/>
    <s v="White"/>
    <s v="Germany"/>
    <s v="Mall"/>
    <n v="86.75"/>
    <n v="16"/>
    <n v="1388"/>
    <s v="May"/>
    <s v="Low"/>
    <s v="Average"/>
    <n v="49.940000000000055"/>
    <n v="0.1"/>
    <n v="1249.2"/>
  </r>
  <r>
    <x v="185"/>
    <x v="156"/>
    <x v="4"/>
    <s v="Boots"/>
    <s v="Black"/>
    <s v="Saudi Arabia"/>
    <s v="Retail Store"/>
    <n v="175.2"/>
    <n v="15"/>
    <n v="2628"/>
    <s v="May"/>
    <s v="High"/>
    <s v="Good"/>
    <n v="1240"/>
    <n v="0.1"/>
    <n v="2365.2000000000003"/>
  </r>
  <r>
    <x v="186"/>
    <x v="138"/>
    <x v="3"/>
    <s v="Running"/>
    <s v="Red"/>
    <s v="France"/>
    <s v="Mall"/>
    <n v="209.79"/>
    <n v="18"/>
    <n v="3776.22"/>
    <s v="May"/>
    <s v="High"/>
    <s v="Excellent"/>
    <n v="1148.2199999999998"/>
    <n v="0.1"/>
    <n v="3398.598"/>
  </r>
  <r>
    <x v="187"/>
    <x v="157"/>
    <x v="1"/>
    <s v="Sports"/>
    <s v="Red"/>
    <s v="Saudi Arabia"/>
    <s v="Retail Store"/>
    <n v="152.13999999999999"/>
    <n v="14"/>
    <n v="2129.96"/>
    <s v="Jun"/>
    <s v="High"/>
    <s v="Good"/>
    <n v="-1646.2599999999998"/>
    <n v="0.1"/>
    <n v="1916.9640000000002"/>
  </r>
  <r>
    <x v="188"/>
    <x v="158"/>
    <x v="5"/>
    <s v="Running"/>
    <s v="White"/>
    <s v="Germany"/>
    <s v="Mall"/>
    <n v="146.52000000000001"/>
    <n v="13"/>
    <n v="1904.76"/>
    <s v="Apr"/>
    <s v="Low"/>
    <s v="Good"/>
    <n v="-225.20000000000005"/>
    <n v="0.1"/>
    <n v="1714.2840000000001"/>
  </r>
  <r>
    <x v="189"/>
    <x v="61"/>
    <x v="4"/>
    <s v="Boots"/>
    <s v="Blue"/>
    <s v="USA"/>
    <s v="Mall"/>
    <n v="83.21"/>
    <n v="19"/>
    <n v="1580.99"/>
    <s v="Jul"/>
    <s v="Low"/>
    <s v="Good"/>
    <n v="-323.77"/>
    <n v="0.1"/>
    <n v="1422.8910000000001"/>
  </r>
  <r>
    <x v="190"/>
    <x v="159"/>
    <x v="0"/>
    <s v="Sneakers"/>
    <s v="Green"/>
    <s v="Saudi Arabia"/>
    <s v="Mall"/>
    <n v="50.48"/>
    <n v="9"/>
    <n v="454.32"/>
    <s v="Jul"/>
    <s v="Low"/>
    <s v="Low"/>
    <n v="-1126.67"/>
    <n v="0.1"/>
    <n v="408.88799999999998"/>
  </r>
  <r>
    <x v="191"/>
    <x v="160"/>
    <x v="1"/>
    <s v="Formal"/>
    <s v="Blue"/>
    <s v="Saudi Arabia"/>
    <s v="Online"/>
    <n v="227.39"/>
    <n v="20"/>
    <n v="4547.8"/>
    <s v="Jan"/>
    <s v="High"/>
    <s v="Excellent"/>
    <n v="4093.48"/>
    <n v="0.1"/>
    <n v="4093.0200000000004"/>
  </r>
  <r>
    <x v="192"/>
    <x v="128"/>
    <x v="3"/>
    <s v="Boots"/>
    <s v="White"/>
    <s v="India"/>
    <s v="Retail Store"/>
    <n v="228.09"/>
    <n v="12"/>
    <n v="2737.08"/>
    <s v="Nov"/>
    <s v="High"/>
    <s v="Good"/>
    <n v="-1810.7200000000003"/>
    <n v="0.1"/>
    <n v="2463.3719999999998"/>
  </r>
  <r>
    <x v="193"/>
    <x v="67"/>
    <x v="1"/>
    <s v="Running"/>
    <s v="Green"/>
    <s v="UAE"/>
    <s v="Online"/>
    <n v="169.28"/>
    <n v="5"/>
    <n v="846.4"/>
    <s v="Dec"/>
    <s v="Low"/>
    <s v="Average"/>
    <n v="-1890.6799999999998"/>
    <n v="0.1"/>
    <n v="761.76"/>
  </r>
  <r>
    <x v="194"/>
    <x v="73"/>
    <x v="0"/>
    <s v="Sneakers"/>
    <s v="Blue"/>
    <s v="UAE"/>
    <s v="Online"/>
    <n v="104.59"/>
    <n v="15"/>
    <n v="1568.85"/>
    <s v="Jun"/>
    <s v="Low"/>
    <s v="Good"/>
    <n v="722.44999999999993"/>
    <n v="0.1"/>
    <n v="1411.9649999999999"/>
  </r>
  <r>
    <x v="195"/>
    <x v="161"/>
    <x v="4"/>
    <s v="Boots"/>
    <s v="Red"/>
    <s v="UK"/>
    <s v="Online"/>
    <n v="106.83"/>
    <n v="10"/>
    <n v="1068.3"/>
    <s v="Feb"/>
    <s v="Low"/>
    <s v="Average"/>
    <n v="-500.54999999999995"/>
    <n v="0.1"/>
    <n v="961.47"/>
  </r>
  <r>
    <x v="196"/>
    <x v="162"/>
    <x v="4"/>
    <s v="Sneakers"/>
    <s v="Grey"/>
    <s v="France"/>
    <s v="Online"/>
    <n v="189.71"/>
    <n v="18"/>
    <n v="3414.78"/>
    <s v="Mar"/>
    <s v="High"/>
    <s v="Excellent"/>
    <n v="2346.4800000000005"/>
    <n v="0.1"/>
    <n v="3073.3020000000001"/>
  </r>
  <r>
    <x v="197"/>
    <x v="163"/>
    <x v="4"/>
    <s v="Boots"/>
    <s v="Blue"/>
    <s v="Saudi Arabia"/>
    <s v="Online"/>
    <n v="227.36"/>
    <n v="16"/>
    <n v="3637.76"/>
    <s v="May"/>
    <s v="High"/>
    <s v="Excellent"/>
    <n v="222.98000000000002"/>
    <n v="0.1"/>
    <n v="3273.9840000000004"/>
  </r>
  <r>
    <x v="198"/>
    <x v="164"/>
    <x v="3"/>
    <s v="Casual"/>
    <s v="Green"/>
    <s v="UAE"/>
    <s v="Mall"/>
    <n v="225.16"/>
    <n v="3"/>
    <n v="675.48"/>
    <s v="Aug"/>
    <s v="Low"/>
    <s v="Average"/>
    <n v="-2962.28"/>
    <n v="0.1"/>
    <n v="607.93200000000002"/>
  </r>
  <r>
    <x v="199"/>
    <x v="165"/>
    <x v="4"/>
    <s v="Running"/>
    <s v="Red"/>
    <s v="USA"/>
    <s v="Retail Store"/>
    <n v="201.57"/>
    <n v="18"/>
    <n v="3628.26"/>
    <s v="Jul"/>
    <s v="High"/>
    <s v="Excellent"/>
    <n v="2952.78"/>
    <n v="0.1"/>
    <n v="3265.4340000000002"/>
  </r>
  <r>
    <x v="200"/>
    <x v="166"/>
    <x v="5"/>
    <s v="Sports"/>
    <s v="Green"/>
    <s v="UAE"/>
    <s v="Mall"/>
    <n v="171.25"/>
    <n v="4"/>
    <n v="685"/>
    <s v="Oct"/>
    <s v="Low"/>
    <s v="Average"/>
    <n v="-2943.26"/>
    <n v="0.1"/>
    <n v="616.5"/>
  </r>
  <r>
    <x v="201"/>
    <x v="17"/>
    <x v="5"/>
    <s v="Boots"/>
    <s v="Blue"/>
    <s v="USA"/>
    <s v="Mall"/>
    <n v="48.51"/>
    <n v="19"/>
    <n v="921.69"/>
    <s v="May"/>
    <s v="Low"/>
    <s v="Average"/>
    <n v="236.69000000000005"/>
    <n v="0.1"/>
    <n v="829.52100000000007"/>
  </r>
  <r>
    <x v="202"/>
    <x v="167"/>
    <x v="0"/>
    <s v="Sneakers"/>
    <s v="Grey"/>
    <s v="France"/>
    <s v="Mall"/>
    <n v="65.56"/>
    <n v="16"/>
    <n v="1048.96"/>
    <s v="Apr"/>
    <s v="Low"/>
    <s v="Average"/>
    <n v="127.26999999999998"/>
    <n v="0.1"/>
    <n v="944.06400000000008"/>
  </r>
  <r>
    <x v="203"/>
    <x v="168"/>
    <x v="1"/>
    <s v="Formal"/>
    <s v="Green"/>
    <s v="France"/>
    <s v="Mall"/>
    <n v="227.68"/>
    <n v="3"/>
    <n v="683.04"/>
    <s v="Apr"/>
    <s v="Low"/>
    <s v="Average"/>
    <n v="-365.92000000000007"/>
    <n v="0.1"/>
    <n v="614.73599999999999"/>
  </r>
  <r>
    <x v="204"/>
    <x v="169"/>
    <x v="3"/>
    <s v="Running"/>
    <s v="Black"/>
    <s v="France"/>
    <s v="Retail Store"/>
    <n v="163.41"/>
    <n v="4"/>
    <n v="653.64"/>
    <s v="Jul"/>
    <s v="Low"/>
    <s v="Average"/>
    <n v="-29.399999999999977"/>
    <n v="0.1"/>
    <n v="588.27599999999995"/>
  </r>
  <r>
    <x v="205"/>
    <x v="170"/>
    <x v="3"/>
    <s v="Sneakers"/>
    <s v="White"/>
    <s v="Germany"/>
    <s v="Retail Store"/>
    <n v="32.020000000000003"/>
    <n v="4"/>
    <n v="128.08000000000001"/>
    <s v="Mar"/>
    <s v="Low"/>
    <s v="Low"/>
    <n v="-525.55999999999995"/>
    <n v="0.1"/>
    <n v="115.27200000000002"/>
  </r>
  <r>
    <x v="206"/>
    <x v="171"/>
    <x v="5"/>
    <s v="Sneakers"/>
    <s v="Green"/>
    <s v="UAE"/>
    <s v="Online"/>
    <n v="52.32"/>
    <n v="18"/>
    <n v="941.76"/>
    <s v="Jul"/>
    <s v="Low"/>
    <s v="Average"/>
    <n v="813.68"/>
    <n v="0.1"/>
    <n v="847.58400000000006"/>
  </r>
  <r>
    <x v="207"/>
    <x v="172"/>
    <x v="5"/>
    <s v="Sneakers"/>
    <s v="Red"/>
    <s v="France"/>
    <s v="Online"/>
    <n v="175.97"/>
    <n v="4"/>
    <n v="703.88"/>
    <s v="Aug"/>
    <s v="Low"/>
    <s v="Average"/>
    <n v="-237.88"/>
    <n v="0.1"/>
    <n v="633.49199999999996"/>
  </r>
  <r>
    <x v="208"/>
    <x v="29"/>
    <x v="3"/>
    <s v="Formal"/>
    <s v="Red"/>
    <s v="UK"/>
    <s v="Retail Store"/>
    <n v="31.11"/>
    <n v="12"/>
    <n v="373.32"/>
    <s v="Dec"/>
    <s v="Low"/>
    <s v="Low"/>
    <n v="-330.56"/>
    <n v="0.1"/>
    <n v="335.988"/>
  </r>
  <r>
    <x v="209"/>
    <x v="39"/>
    <x v="2"/>
    <s v="Boots"/>
    <s v="Blue"/>
    <s v="USA"/>
    <s v="Retail Store"/>
    <n v="65.38"/>
    <n v="12"/>
    <n v="784.56"/>
    <s v="Feb"/>
    <s v="Low"/>
    <s v="Average"/>
    <n v="411.23999999999995"/>
    <n v="0.1"/>
    <n v="706.10399999999993"/>
  </r>
  <r>
    <x v="210"/>
    <x v="173"/>
    <x v="0"/>
    <s v="Formal"/>
    <s v="Black"/>
    <s v="UAE"/>
    <s v="Online"/>
    <n v="150.72"/>
    <n v="7"/>
    <n v="1055.04"/>
    <s v="May"/>
    <s v="Low"/>
    <s v="Average"/>
    <n v="270.48"/>
    <n v="0.1"/>
    <n v="949.53599999999994"/>
  </r>
  <r>
    <x v="211"/>
    <x v="174"/>
    <x v="0"/>
    <s v="Running"/>
    <s v="Blue"/>
    <s v="UK"/>
    <s v="Online"/>
    <n v="182.22"/>
    <n v="20"/>
    <n v="3644.4"/>
    <s v="Nov"/>
    <s v="High"/>
    <s v="Excellent"/>
    <n v="2589.36"/>
    <n v="0.1"/>
    <n v="3279.96"/>
  </r>
  <r>
    <x v="212"/>
    <x v="175"/>
    <x v="0"/>
    <s v="Sneakers"/>
    <s v="White"/>
    <s v="India"/>
    <s v="Online"/>
    <n v="173.43"/>
    <n v="7"/>
    <n v="1214.01"/>
    <s v="Oct"/>
    <s v="Low"/>
    <s v="Average"/>
    <n v="-2430.3900000000003"/>
    <n v="0.1"/>
    <n v="1092.6089999999999"/>
  </r>
  <r>
    <x v="213"/>
    <x v="167"/>
    <x v="3"/>
    <s v="Sneakers"/>
    <s v="Black"/>
    <s v="France"/>
    <s v="Online"/>
    <n v="79.34"/>
    <n v="11"/>
    <n v="872.74"/>
    <s v="Apr"/>
    <s v="Low"/>
    <s v="Average"/>
    <n v="-341.27"/>
    <n v="0.1"/>
    <n v="785.46600000000001"/>
  </r>
  <r>
    <x v="214"/>
    <x v="176"/>
    <x v="4"/>
    <s v="Casual"/>
    <s v="Black"/>
    <s v="UAE"/>
    <s v="Online"/>
    <n v="186.68"/>
    <n v="18"/>
    <n v="3360.24"/>
    <s v="Mar"/>
    <s v="High"/>
    <s v="Excellent"/>
    <n v="2487.5"/>
    <n v="0.1"/>
    <n v="3024.2159999999999"/>
  </r>
  <r>
    <x v="215"/>
    <x v="162"/>
    <x v="4"/>
    <s v="Casual"/>
    <s v="Grey"/>
    <s v="France"/>
    <s v="Online"/>
    <n v="82.19"/>
    <n v="1"/>
    <n v="82.19"/>
    <s v="Mar"/>
    <s v="Low"/>
    <s v="Low"/>
    <n v="-3278.0499999999997"/>
    <n v="0.1"/>
    <n v="73.971000000000004"/>
  </r>
  <r>
    <x v="216"/>
    <x v="75"/>
    <x v="0"/>
    <s v="Casual"/>
    <s v="Green"/>
    <s v="Germany"/>
    <s v="Mall"/>
    <n v="101.59"/>
    <n v="9"/>
    <n v="914.31"/>
    <s v="Mar"/>
    <s v="Low"/>
    <s v="Average"/>
    <n v="832.11999999999989"/>
    <n v="0.1"/>
    <n v="822.87900000000002"/>
  </r>
  <r>
    <x v="217"/>
    <x v="177"/>
    <x v="5"/>
    <s v="Formal"/>
    <s v="Blue"/>
    <s v="India"/>
    <s v="Mall"/>
    <n v="194.23"/>
    <n v="3"/>
    <n v="582.69000000000005"/>
    <s v="Feb"/>
    <s v="Low"/>
    <s v="Average"/>
    <n v="-331.61999999999989"/>
    <n v="0.1"/>
    <n v="524.42100000000005"/>
  </r>
  <r>
    <x v="218"/>
    <x v="178"/>
    <x v="2"/>
    <s v="Casual"/>
    <s v="Grey"/>
    <s v="USA"/>
    <s v="Mall"/>
    <n v="172.92"/>
    <n v="15"/>
    <n v="2593.8000000000002"/>
    <s v="Feb"/>
    <s v="High"/>
    <s v="Good"/>
    <n v="2011.1100000000001"/>
    <n v="0.1"/>
    <n v="2334.42"/>
  </r>
  <r>
    <x v="219"/>
    <x v="179"/>
    <x v="4"/>
    <s v="Formal"/>
    <s v="Green"/>
    <s v="USA"/>
    <s v="Online"/>
    <n v="216.83"/>
    <n v="17"/>
    <n v="3686.11"/>
    <s v="Dec"/>
    <s v="High"/>
    <s v="Excellent"/>
    <n v="1092.31"/>
    <n v="0.1"/>
    <n v="3317.4990000000003"/>
  </r>
  <r>
    <x v="220"/>
    <x v="180"/>
    <x v="5"/>
    <s v="Boots"/>
    <s v="Black"/>
    <s v="Germany"/>
    <s v="Mall"/>
    <n v="174.67"/>
    <n v="13"/>
    <n v="2270.71"/>
    <s v="Sep"/>
    <s v="High"/>
    <s v="Good"/>
    <n v="-1415.4"/>
    <n v="0.1"/>
    <n v="2043.6390000000001"/>
  </r>
  <r>
    <x v="221"/>
    <x v="181"/>
    <x v="0"/>
    <s v="Sports"/>
    <s v="Grey"/>
    <s v="UK"/>
    <s v="Online"/>
    <n v="155.03"/>
    <n v="3"/>
    <n v="465.09"/>
    <s v="Aug"/>
    <s v="Low"/>
    <s v="Low"/>
    <n v="-1805.6200000000001"/>
    <n v="0.1"/>
    <n v="418.58099999999996"/>
  </r>
  <r>
    <x v="222"/>
    <x v="27"/>
    <x v="2"/>
    <s v="Boots"/>
    <s v="Grey"/>
    <s v="India"/>
    <s v="Mall"/>
    <n v="50.61"/>
    <n v="9"/>
    <n v="455.49"/>
    <s v="Mar"/>
    <s v="Low"/>
    <s v="Low"/>
    <n v="-9.5999999999999659"/>
    <n v="0.1"/>
    <n v="409.94100000000003"/>
  </r>
  <r>
    <x v="223"/>
    <x v="182"/>
    <x v="2"/>
    <s v="Sneakers"/>
    <s v="Blue"/>
    <s v="Germany"/>
    <s v="Mall"/>
    <n v="110.9"/>
    <n v="13"/>
    <n v="1441.7"/>
    <s v="Jun"/>
    <s v="Low"/>
    <s v="Average"/>
    <n v="986.21"/>
    <n v="0.1"/>
    <n v="1297.53"/>
  </r>
  <r>
    <x v="224"/>
    <x v="7"/>
    <x v="0"/>
    <s v="Boots"/>
    <s v="Black"/>
    <s v="Saudi Arabia"/>
    <s v="Mall"/>
    <n v="88.34"/>
    <n v="14"/>
    <n v="1236.76"/>
    <s v="Nov"/>
    <s v="Low"/>
    <s v="Average"/>
    <n v="-204.94000000000005"/>
    <n v="0.1"/>
    <n v="1113.0840000000001"/>
  </r>
  <r>
    <x v="225"/>
    <x v="183"/>
    <x v="1"/>
    <s v="Casual"/>
    <s v="Red"/>
    <s v="Germany"/>
    <s v="Online"/>
    <n v="83.68"/>
    <n v="18"/>
    <n v="1506.24"/>
    <s v="Nov"/>
    <s v="Low"/>
    <s v="Good"/>
    <n v="269.48"/>
    <n v="0.1"/>
    <n v="1355.616"/>
  </r>
  <r>
    <x v="226"/>
    <x v="184"/>
    <x v="5"/>
    <s v="Formal"/>
    <s v="Red"/>
    <s v="UAE"/>
    <s v="Online"/>
    <n v="244.06"/>
    <n v="11"/>
    <n v="2684.66"/>
    <s v="Jul"/>
    <s v="High"/>
    <s v="Good"/>
    <n v="1178.4199999999998"/>
    <n v="0.1"/>
    <n v="2416.194"/>
  </r>
  <r>
    <x v="227"/>
    <x v="69"/>
    <x v="4"/>
    <s v="Boots"/>
    <s v="Blue"/>
    <s v="France"/>
    <s v="Online"/>
    <n v="116.48"/>
    <n v="14"/>
    <n v="1630.72"/>
    <s v="Jun"/>
    <s v="Low"/>
    <s v="Good"/>
    <n v="-1053.9399999999998"/>
    <n v="0.1"/>
    <n v="1467.6480000000001"/>
  </r>
  <r>
    <x v="228"/>
    <x v="185"/>
    <x v="0"/>
    <s v="Running"/>
    <s v="Black"/>
    <s v="USA"/>
    <s v="Retail Store"/>
    <n v="226.25"/>
    <n v="16"/>
    <n v="3620"/>
    <s v="Dec"/>
    <s v="High"/>
    <s v="Excellent"/>
    <n v="1989.28"/>
    <n v="0.1"/>
    <n v="3258"/>
  </r>
  <r>
    <x v="229"/>
    <x v="35"/>
    <x v="3"/>
    <s v="Sneakers"/>
    <s v="Black"/>
    <s v="India"/>
    <s v="Mall"/>
    <n v="168.85"/>
    <n v="12"/>
    <n v="2026.2"/>
    <s v="Feb"/>
    <s v="High"/>
    <s v="Good"/>
    <n v="-1593.8"/>
    <n v="0.1"/>
    <n v="1823.5800000000002"/>
  </r>
  <r>
    <x v="230"/>
    <x v="186"/>
    <x v="1"/>
    <s v="Running"/>
    <s v="Red"/>
    <s v="France"/>
    <s v="Mall"/>
    <n v="204.86"/>
    <n v="11"/>
    <n v="2253.46"/>
    <s v="Oct"/>
    <s v="High"/>
    <s v="Good"/>
    <n v="227.26"/>
    <n v="0.1"/>
    <n v="2028.114"/>
  </r>
  <r>
    <x v="231"/>
    <x v="2"/>
    <x v="4"/>
    <s v="Sneakers"/>
    <s v="Blue"/>
    <s v="France"/>
    <s v="Online"/>
    <n v="140.58000000000001"/>
    <n v="2"/>
    <n v="281.16000000000003"/>
    <s v="Aug"/>
    <s v="Low"/>
    <s v="Low"/>
    <n v="-1972.3"/>
    <n v="0.1"/>
    <n v="253.04400000000004"/>
  </r>
  <r>
    <x v="232"/>
    <x v="9"/>
    <x v="3"/>
    <s v="Casual"/>
    <s v="Green"/>
    <s v="Germany"/>
    <s v="Online"/>
    <n v="156.91999999999999"/>
    <n v="17"/>
    <n v="2667.64"/>
    <s v="Oct"/>
    <s v="High"/>
    <s v="Good"/>
    <n v="2386.48"/>
    <n v="0.1"/>
    <n v="2400.8759999999997"/>
  </r>
  <r>
    <x v="233"/>
    <x v="178"/>
    <x v="2"/>
    <s v="Sports"/>
    <s v="Black"/>
    <s v="Saudi Arabia"/>
    <s v="Retail Store"/>
    <n v="138.35"/>
    <n v="12"/>
    <n v="1660.2"/>
    <s v="Feb"/>
    <s v="Low"/>
    <s v="Good"/>
    <n v="-1007.4399999999998"/>
    <n v="0.1"/>
    <n v="1494.18"/>
  </r>
  <r>
    <x v="234"/>
    <x v="125"/>
    <x v="5"/>
    <s v="Sneakers"/>
    <s v="Grey"/>
    <s v="India"/>
    <s v="Mall"/>
    <n v="72.95"/>
    <n v="8"/>
    <n v="583.6"/>
    <s v="Oct"/>
    <s v="Low"/>
    <s v="Average"/>
    <n v="-1076.5999999999999"/>
    <n v="0.1"/>
    <n v="525.24"/>
  </r>
  <r>
    <x v="235"/>
    <x v="187"/>
    <x v="0"/>
    <s v="Sneakers"/>
    <s v="Green"/>
    <s v="Saudi Arabia"/>
    <s v="Mall"/>
    <n v="188.94"/>
    <n v="18"/>
    <n v="3400.92"/>
    <s v="Nov"/>
    <s v="High"/>
    <s v="Excellent"/>
    <n v="2817.32"/>
    <n v="0.1"/>
    <n v="3060.828"/>
  </r>
  <r>
    <x v="236"/>
    <x v="12"/>
    <x v="3"/>
    <s v="Sports"/>
    <s v="Green"/>
    <s v="Saudi Arabia"/>
    <s v="Retail Store"/>
    <n v="91.77"/>
    <n v="1"/>
    <n v="91.77"/>
    <s v="May"/>
    <s v="Low"/>
    <s v="Low"/>
    <n v="-3309.15"/>
    <n v="0.1"/>
    <n v="82.593000000000004"/>
  </r>
  <r>
    <x v="237"/>
    <x v="150"/>
    <x v="0"/>
    <s v="Casual"/>
    <s v="White"/>
    <s v="India"/>
    <s v="Mall"/>
    <n v="35.35"/>
    <n v="12"/>
    <n v="424.2"/>
    <s v="Jun"/>
    <s v="Low"/>
    <s v="Low"/>
    <n v="332.43"/>
    <n v="0.1"/>
    <n v="381.78"/>
  </r>
  <r>
    <x v="238"/>
    <x v="188"/>
    <x v="3"/>
    <s v="Boots"/>
    <s v="Green"/>
    <s v="USA"/>
    <s v="Online"/>
    <n v="172"/>
    <n v="3"/>
    <n v="516"/>
    <s v="Jul"/>
    <s v="Low"/>
    <s v="Average"/>
    <n v="91.800000000000011"/>
    <n v="0.1"/>
    <n v="464.40000000000003"/>
  </r>
  <r>
    <x v="239"/>
    <x v="189"/>
    <x v="5"/>
    <s v="Formal"/>
    <s v="Red"/>
    <s v="France"/>
    <s v="Online"/>
    <n v="68.959999999999994"/>
    <n v="7"/>
    <n v="482.72"/>
    <s v="Sep"/>
    <s v="Low"/>
    <s v="Low"/>
    <n v="-33.279999999999973"/>
    <n v="0.1"/>
    <n v="434.44800000000004"/>
  </r>
  <r>
    <x v="240"/>
    <x v="171"/>
    <x v="1"/>
    <s v="Sports"/>
    <s v="Grey"/>
    <s v="India"/>
    <s v="Online"/>
    <n v="236.9"/>
    <n v="10"/>
    <n v="2369"/>
    <s v="Jul"/>
    <s v="High"/>
    <s v="Good"/>
    <n v="1886.28"/>
    <n v="0.1"/>
    <n v="2132.1"/>
  </r>
  <r>
    <x v="241"/>
    <x v="126"/>
    <x v="3"/>
    <s v="Sneakers"/>
    <s v="Black"/>
    <s v="UAE"/>
    <s v="Online"/>
    <n v="239.86"/>
    <n v="5"/>
    <n v="1199.3"/>
    <s v="Jan"/>
    <s v="Low"/>
    <s v="Average"/>
    <n v="-1169.7"/>
    <n v="0.1"/>
    <n v="1079.3699999999999"/>
  </r>
  <r>
    <x v="242"/>
    <x v="190"/>
    <x v="1"/>
    <s v="Formal"/>
    <s v="Red"/>
    <s v="India"/>
    <s v="Retail Store"/>
    <n v="231.27"/>
    <n v="15"/>
    <n v="3469.05"/>
    <s v="May"/>
    <s v="High"/>
    <s v="Excellent"/>
    <n v="2269.75"/>
    <n v="0.1"/>
    <n v="3122.1450000000004"/>
  </r>
  <r>
    <x v="243"/>
    <x v="172"/>
    <x v="3"/>
    <s v="Sneakers"/>
    <s v="Black"/>
    <s v="France"/>
    <s v="Retail Store"/>
    <n v="111.43"/>
    <n v="9"/>
    <n v="1002.87"/>
    <s v="Aug"/>
    <s v="Low"/>
    <s v="Average"/>
    <n v="-2466.1800000000003"/>
    <n v="0.1"/>
    <n v="902.58299999999997"/>
  </r>
  <r>
    <x v="244"/>
    <x v="191"/>
    <x v="1"/>
    <s v="Boots"/>
    <s v="Grey"/>
    <s v="Germany"/>
    <s v="Mall"/>
    <n v="33.4"/>
    <n v="10"/>
    <n v="334"/>
    <s v="Feb"/>
    <s v="Low"/>
    <s v="Low"/>
    <n v="-668.87"/>
    <n v="0.1"/>
    <n v="300.60000000000002"/>
  </r>
  <r>
    <x v="245"/>
    <x v="192"/>
    <x v="0"/>
    <s v="Casual"/>
    <s v="Red"/>
    <s v="India"/>
    <s v="Online"/>
    <n v="234.23"/>
    <n v="10"/>
    <n v="2342.3000000000002"/>
    <s v="Dec"/>
    <s v="High"/>
    <s v="Good"/>
    <n v="2008.3000000000002"/>
    <n v="0.1"/>
    <n v="2108.0700000000002"/>
  </r>
  <r>
    <x v="246"/>
    <x v="94"/>
    <x v="4"/>
    <s v="Casual"/>
    <s v="White"/>
    <s v="Saudi Arabia"/>
    <s v="Retail Store"/>
    <n v="124.2"/>
    <n v="7"/>
    <n v="869.4"/>
    <s v="Jan"/>
    <s v="Low"/>
    <s v="Average"/>
    <n v="-1472.9"/>
    <n v="0.1"/>
    <n v="782.46"/>
  </r>
  <r>
    <x v="247"/>
    <x v="10"/>
    <x v="0"/>
    <s v="Running"/>
    <s v="Red"/>
    <s v="UAE"/>
    <s v="Retail Store"/>
    <n v="242.66"/>
    <n v="11"/>
    <n v="2669.26"/>
    <s v="May"/>
    <s v="High"/>
    <s v="Good"/>
    <n v="1799.8600000000001"/>
    <n v="0.1"/>
    <n v="2402.3340000000003"/>
  </r>
  <r>
    <x v="248"/>
    <x v="75"/>
    <x v="5"/>
    <s v="Sneakers"/>
    <s v="Green"/>
    <s v="UK"/>
    <s v="Mall"/>
    <n v="242"/>
    <n v="5"/>
    <n v="1210"/>
    <s v="Mar"/>
    <s v="Low"/>
    <s v="Average"/>
    <n v="-1459.2600000000002"/>
    <n v="0.1"/>
    <n v="1089"/>
  </r>
  <r>
    <x v="249"/>
    <x v="62"/>
    <x v="0"/>
    <s v="Formal"/>
    <s v="Green"/>
    <s v="USA"/>
    <s v="Retail Store"/>
    <n v="217.66"/>
    <n v="12"/>
    <n v="2611.92"/>
    <s v="Oct"/>
    <s v="High"/>
    <s v="Good"/>
    <n v="1401.92"/>
    <n v="0.1"/>
    <n v="2350.7280000000001"/>
  </r>
  <r>
    <x v="250"/>
    <x v="193"/>
    <x v="0"/>
    <s v="Sports"/>
    <s v="Grey"/>
    <s v="Germany"/>
    <s v="Mall"/>
    <n v="94.78"/>
    <n v="15"/>
    <n v="1421.7"/>
    <s v="Jan"/>
    <s v="Low"/>
    <s v="Average"/>
    <n v="-1190.22"/>
    <n v="0.1"/>
    <n v="1279.53"/>
  </r>
  <r>
    <x v="251"/>
    <x v="194"/>
    <x v="4"/>
    <s v="Running"/>
    <s v="Red"/>
    <s v="USA"/>
    <s v="Retail Store"/>
    <n v="114.72"/>
    <n v="14"/>
    <n v="1606.08"/>
    <s v="Jul"/>
    <s v="Low"/>
    <s v="Good"/>
    <n v="184.37999999999988"/>
    <n v="0.1"/>
    <n v="1445.472"/>
  </r>
  <r>
    <x v="252"/>
    <x v="154"/>
    <x v="5"/>
    <s v="Boots"/>
    <s v="Blue"/>
    <s v="USA"/>
    <s v="Retail Store"/>
    <n v="217.25"/>
    <n v="20"/>
    <n v="4345"/>
    <s v="Mar"/>
    <s v="High"/>
    <s v="Excellent"/>
    <n v="2738.92"/>
    <n v="0.1"/>
    <n v="3910.5"/>
  </r>
  <r>
    <x v="253"/>
    <x v="54"/>
    <x v="5"/>
    <s v="Sneakers"/>
    <s v="Red"/>
    <s v="India"/>
    <s v="Online"/>
    <n v="99.72"/>
    <n v="8"/>
    <n v="797.76"/>
    <s v="Feb"/>
    <s v="Low"/>
    <s v="Average"/>
    <n v="-3547.24"/>
    <n v="0.1"/>
    <n v="717.98400000000004"/>
  </r>
  <r>
    <x v="254"/>
    <x v="159"/>
    <x v="1"/>
    <s v="Sports"/>
    <s v="White"/>
    <s v="France"/>
    <s v="Online"/>
    <n v="67.290000000000006"/>
    <n v="10"/>
    <n v="672.9"/>
    <s v="Jul"/>
    <s v="Low"/>
    <s v="Average"/>
    <n v="-124.86000000000001"/>
    <n v="0.1"/>
    <n v="605.61"/>
  </r>
  <r>
    <x v="255"/>
    <x v="195"/>
    <x v="1"/>
    <s v="Running"/>
    <s v="Grey"/>
    <s v="India"/>
    <s v="Online"/>
    <n v="152.5"/>
    <n v="17"/>
    <n v="2592.5"/>
    <s v="Feb"/>
    <s v="High"/>
    <s v="Good"/>
    <n v="1919.6"/>
    <n v="0.1"/>
    <n v="2333.25"/>
  </r>
  <r>
    <x v="256"/>
    <x v="196"/>
    <x v="1"/>
    <s v="Boots"/>
    <s v="White"/>
    <s v="UK"/>
    <s v="Online"/>
    <n v="235.95"/>
    <n v="12"/>
    <n v="2831.4"/>
    <s v="Jun"/>
    <s v="High"/>
    <s v="Good"/>
    <n v="238.90000000000009"/>
    <n v="0.1"/>
    <n v="2548.2600000000002"/>
  </r>
  <r>
    <x v="257"/>
    <x v="153"/>
    <x v="3"/>
    <s v="Casual"/>
    <s v="Grey"/>
    <s v="UK"/>
    <s v="Mall"/>
    <n v="183.13"/>
    <n v="9"/>
    <n v="1648.17"/>
    <s v="Mar"/>
    <s v="Low"/>
    <s v="Good"/>
    <n v="-1183.23"/>
    <n v="0.1"/>
    <n v="1483.3530000000001"/>
  </r>
  <r>
    <x v="258"/>
    <x v="59"/>
    <x v="1"/>
    <s v="Formal"/>
    <s v="Red"/>
    <s v="Saudi Arabia"/>
    <s v="Mall"/>
    <n v="155.41"/>
    <n v="6"/>
    <n v="932.46"/>
    <s v="Feb"/>
    <s v="Low"/>
    <s v="Average"/>
    <n v="-715.71"/>
    <n v="0.1"/>
    <n v="839.21400000000006"/>
  </r>
  <r>
    <x v="259"/>
    <x v="197"/>
    <x v="1"/>
    <s v="Sneakers"/>
    <s v="Green"/>
    <s v="UAE"/>
    <s v="Mall"/>
    <n v="51.38"/>
    <n v="15"/>
    <n v="770.7"/>
    <s v="Oct"/>
    <s v="Low"/>
    <s v="Average"/>
    <n v="-161.76"/>
    <n v="0.1"/>
    <n v="693.63000000000011"/>
  </r>
  <r>
    <x v="260"/>
    <x v="198"/>
    <x v="3"/>
    <s v="Formal"/>
    <s v="Black"/>
    <s v="Germany"/>
    <s v="Retail Store"/>
    <n v="165.3"/>
    <n v="11"/>
    <n v="1818.3"/>
    <s v="Jun"/>
    <s v="Low"/>
    <s v="Good"/>
    <n v="1047.5999999999999"/>
    <n v="0.1"/>
    <n v="1636.47"/>
  </r>
  <r>
    <x v="261"/>
    <x v="199"/>
    <x v="4"/>
    <s v="Sneakers"/>
    <s v="Black"/>
    <s v="France"/>
    <s v="Mall"/>
    <n v="247.81"/>
    <n v="10"/>
    <n v="2478.1"/>
    <s v="Nov"/>
    <s v="High"/>
    <s v="Good"/>
    <n v="659.8"/>
    <n v="0.1"/>
    <n v="2230.29"/>
  </r>
  <r>
    <x v="262"/>
    <x v="50"/>
    <x v="5"/>
    <s v="Formal"/>
    <s v="Black"/>
    <s v="USA"/>
    <s v="Retail Store"/>
    <n v="60.82"/>
    <n v="10"/>
    <n v="608.20000000000005"/>
    <s v="Feb"/>
    <s v="Low"/>
    <s v="Average"/>
    <n v="-1869.8999999999999"/>
    <n v="0.1"/>
    <n v="547.38000000000011"/>
  </r>
  <r>
    <x v="263"/>
    <x v="42"/>
    <x v="1"/>
    <s v="Running"/>
    <s v="Grey"/>
    <s v="India"/>
    <s v="Mall"/>
    <n v="144.03"/>
    <n v="3"/>
    <n v="432.09"/>
    <s v="May"/>
    <s v="Low"/>
    <s v="Low"/>
    <n v="-176.11000000000007"/>
    <n v="0.1"/>
    <n v="388.88099999999997"/>
  </r>
  <r>
    <x v="264"/>
    <x v="200"/>
    <x v="2"/>
    <s v="Sneakers"/>
    <s v="Green"/>
    <s v="USA"/>
    <s v="Retail Store"/>
    <n v="223.02"/>
    <n v="15"/>
    <n v="3345.3"/>
    <s v="Jul"/>
    <s v="High"/>
    <s v="Excellent"/>
    <n v="2913.21"/>
    <n v="0.1"/>
    <n v="3010.7700000000004"/>
  </r>
  <r>
    <x v="265"/>
    <x v="201"/>
    <x v="4"/>
    <s v="Sneakers"/>
    <s v="Red"/>
    <s v="India"/>
    <s v="Online"/>
    <n v="192.97"/>
    <n v="7"/>
    <n v="1350.79"/>
    <s v="Oct"/>
    <s v="Low"/>
    <s v="Average"/>
    <n v="-1994.5100000000002"/>
    <n v="0.1"/>
    <n v="1215.711"/>
  </r>
  <r>
    <x v="266"/>
    <x v="202"/>
    <x v="0"/>
    <s v="Sports"/>
    <s v="Green"/>
    <s v="USA"/>
    <s v="Mall"/>
    <n v="183.34"/>
    <n v="15"/>
    <n v="2750.1"/>
    <s v="Feb"/>
    <s v="High"/>
    <s v="Good"/>
    <n v="1399.31"/>
    <n v="0.1"/>
    <n v="2475.09"/>
  </r>
  <r>
    <x v="267"/>
    <x v="203"/>
    <x v="0"/>
    <s v="Casual"/>
    <s v="Green"/>
    <s v="Germany"/>
    <s v="Retail Store"/>
    <n v="184.55"/>
    <n v="6"/>
    <n v="1107.3"/>
    <s v="Nov"/>
    <s v="Low"/>
    <s v="Average"/>
    <n v="-1642.8"/>
    <n v="0.1"/>
    <n v="996.56999999999994"/>
  </r>
  <r>
    <x v="268"/>
    <x v="204"/>
    <x v="2"/>
    <s v="Casual"/>
    <s v="Blue"/>
    <s v="France"/>
    <s v="Retail Store"/>
    <n v="109.09"/>
    <n v="17"/>
    <n v="1854.53"/>
    <s v="Sep"/>
    <s v="Low"/>
    <s v="Good"/>
    <n v="747.23"/>
    <n v="0.1"/>
    <n v="1669.077"/>
  </r>
  <r>
    <x v="269"/>
    <x v="205"/>
    <x v="4"/>
    <s v="Boots"/>
    <s v="Grey"/>
    <s v="USA"/>
    <s v="Mall"/>
    <n v="94.59"/>
    <n v="14"/>
    <n v="1324.26"/>
    <s v="Jul"/>
    <s v="Low"/>
    <s v="Average"/>
    <n v="-530.27"/>
    <n v="0.1"/>
    <n v="1191.8340000000001"/>
  </r>
  <r>
    <x v="270"/>
    <x v="206"/>
    <x v="0"/>
    <s v="Sports"/>
    <s v="Black"/>
    <s v="India"/>
    <s v="Mall"/>
    <n v="208.06"/>
    <n v="11"/>
    <n v="2288.66"/>
    <s v="Nov"/>
    <s v="High"/>
    <s v="Good"/>
    <n v="964.39999999999986"/>
    <n v="0.1"/>
    <n v="2059.7939999999999"/>
  </r>
  <r>
    <x v="271"/>
    <x v="149"/>
    <x v="4"/>
    <s v="Boots"/>
    <s v="Green"/>
    <s v="India"/>
    <s v="Online"/>
    <n v="208.22"/>
    <n v="10"/>
    <n v="2082.1999999999998"/>
    <s v="Jul"/>
    <s v="High"/>
    <s v="Good"/>
    <n v="-206.46000000000004"/>
    <n v="0.1"/>
    <n v="1873.9799999999998"/>
  </r>
  <r>
    <x v="272"/>
    <x v="207"/>
    <x v="2"/>
    <s v="Boots"/>
    <s v="White"/>
    <s v="France"/>
    <s v="Retail Store"/>
    <n v="220.76"/>
    <n v="3"/>
    <n v="662.28"/>
    <s v="Jun"/>
    <s v="Low"/>
    <s v="Average"/>
    <n v="-1419.9199999999998"/>
    <n v="0.1"/>
    <n v="596.05200000000002"/>
  </r>
  <r>
    <x v="273"/>
    <x v="208"/>
    <x v="3"/>
    <s v="Sneakers"/>
    <s v="Green"/>
    <s v="USA"/>
    <s v="Retail Store"/>
    <n v="230.91"/>
    <n v="13"/>
    <n v="3001.83"/>
    <s v="Dec"/>
    <s v="High"/>
    <s v="Excellent"/>
    <n v="2339.5500000000002"/>
    <n v="0.1"/>
    <n v="2701.6469999999999"/>
  </r>
  <r>
    <x v="274"/>
    <x v="62"/>
    <x v="1"/>
    <s v="Sports"/>
    <s v="White"/>
    <s v="UAE"/>
    <s v="Mall"/>
    <n v="142.5"/>
    <n v="13"/>
    <n v="1852.5"/>
    <s v="Oct"/>
    <s v="Low"/>
    <s v="Good"/>
    <n v="-1149.33"/>
    <n v="0.1"/>
    <n v="1667.25"/>
  </r>
  <r>
    <x v="275"/>
    <x v="209"/>
    <x v="0"/>
    <s v="Boots"/>
    <s v="Green"/>
    <s v="Germany"/>
    <s v="Mall"/>
    <n v="140.33000000000001"/>
    <n v="17"/>
    <n v="2385.61"/>
    <s v="Dec"/>
    <s v="High"/>
    <s v="Good"/>
    <n v="533.11000000000013"/>
    <n v="0.1"/>
    <n v="2147.049"/>
  </r>
  <r>
    <x v="276"/>
    <x v="140"/>
    <x v="4"/>
    <s v="Sports"/>
    <s v="White"/>
    <s v="UK"/>
    <s v="Retail Store"/>
    <n v="205.62"/>
    <n v="1"/>
    <n v="205.62"/>
    <s v="Jul"/>
    <s v="Low"/>
    <s v="Low"/>
    <n v="-2179.9900000000002"/>
    <n v="0.1"/>
    <n v="185.05800000000002"/>
  </r>
  <r>
    <x v="277"/>
    <x v="95"/>
    <x v="3"/>
    <s v="Casual"/>
    <s v="White"/>
    <s v="USA"/>
    <s v="Retail Store"/>
    <n v="172.99"/>
    <n v="7"/>
    <n v="1210.93"/>
    <s v="Sep"/>
    <s v="Low"/>
    <s v="Average"/>
    <n v="1005.3100000000001"/>
    <n v="0.1"/>
    <n v="1089.837"/>
  </r>
  <r>
    <x v="278"/>
    <x v="210"/>
    <x v="2"/>
    <s v="Boots"/>
    <s v="Grey"/>
    <s v="USA"/>
    <s v="Mall"/>
    <n v="184.43"/>
    <n v="17"/>
    <n v="3135.31"/>
    <s v="Feb"/>
    <s v="High"/>
    <s v="Excellent"/>
    <n v="1924.3799999999999"/>
    <n v="0.1"/>
    <n v="2821.779"/>
  </r>
  <r>
    <x v="279"/>
    <x v="211"/>
    <x v="3"/>
    <s v="Sneakers"/>
    <s v="Red"/>
    <s v="UK"/>
    <s v="Online"/>
    <n v="205.07"/>
    <n v="20"/>
    <n v="4101.3999999999996"/>
    <s v="Jun"/>
    <s v="High"/>
    <s v="Excellent"/>
    <n v="966.08999999999969"/>
    <n v="0.1"/>
    <n v="3691.2599999999998"/>
  </r>
  <r>
    <x v="280"/>
    <x v="212"/>
    <x v="3"/>
    <s v="Boots"/>
    <s v="Red"/>
    <s v="USA"/>
    <s v="Retail Store"/>
    <n v="225.8"/>
    <n v="20"/>
    <n v="4516"/>
    <s v="Apr"/>
    <s v="High"/>
    <s v="Excellent"/>
    <n v="414.60000000000036"/>
    <n v="0.1"/>
    <n v="4064.4"/>
  </r>
  <r>
    <x v="281"/>
    <x v="213"/>
    <x v="5"/>
    <s v="Sneakers"/>
    <s v="Blue"/>
    <s v="Saudi Arabia"/>
    <s v="Mall"/>
    <n v="104.36"/>
    <n v="8"/>
    <n v="834.88"/>
    <s v="Jul"/>
    <s v="Low"/>
    <s v="Average"/>
    <n v="-3681.12"/>
    <n v="0.1"/>
    <n v="751.39200000000005"/>
  </r>
  <r>
    <x v="282"/>
    <x v="214"/>
    <x v="2"/>
    <s v="Casual"/>
    <s v="Blue"/>
    <s v="Saudi Arabia"/>
    <s v="Retail Store"/>
    <n v="112.63"/>
    <n v="8"/>
    <n v="901.04"/>
    <s v="Aug"/>
    <s v="Low"/>
    <s v="Average"/>
    <n v="66.159999999999968"/>
    <n v="0.1"/>
    <n v="810.93600000000004"/>
  </r>
  <r>
    <x v="283"/>
    <x v="215"/>
    <x v="1"/>
    <s v="Sneakers"/>
    <s v="Red"/>
    <s v="Germany"/>
    <s v="Retail Store"/>
    <n v="50.68"/>
    <n v="12"/>
    <n v="608.16"/>
    <s v="Apr"/>
    <s v="Low"/>
    <s v="Average"/>
    <n v="-292.88"/>
    <n v="0.1"/>
    <n v="547.34399999999994"/>
  </r>
  <r>
    <x v="284"/>
    <x v="20"/>
    <x v="2"/>
    <s v="Formal"/>
    <s v="White"/>
    <s v="Saudi Arabia"/>
    <s v="Online"/>
    <n v="157.22"/>
    <n v="17"/>
    <n v="2672.74"/>
    <s v="Jul"/>
    <s v="High"/>
    <s v="Good"/>
    <n v="2064.58"/>
    <n v="0.1"/>
    <n v="2405.4659999999999"/>
  </r>
  <r>
    <x v="285"/>
    <x v="7"/>
    <x v="4"/>
    <s v="Running"/>
    <s v="Green"/>
    <s v="Germany"/>
    <s v="Retail Store"/>
    <n v="37.909999999999997"/>
    <n v="5"/>
    <n v="189.55"/>
    <s v="Nov"/>
    <s v="Low"/>
    <s v="Low"/>
    <n v="-2483.1899999999996"/>
    <n v="0.1"/>
    <n v="170.59500000000003"/>
  </r>
  <r>
    <x v="286"/>
    <x v="53"/>
    <x v="1"/>
    <s v="Sneakers"/>
    <s v="Black"/>
    <s v="France"/>
    <s v="Online"/>
    <n v="132.43"/>
    <n v="4"/>
    <n v="529.72"/>
    <s v="Oct"/>
    <s v="Low"/>
    <s v="Average"/>
    <n v="340.17"/>
    <n v="0.1"/>
    <n v="476.74800000000005"/>
  </r>
  <r>
    <x v="287"/>
    <x v="216"/>
    <x v="5"/>
    <s v="Sneakers"/>
    <s v="White"/>
    <s v="Saudi Arabia"/>
    <s v="Retail Store"/>
    <n v="149.38"/>
    <n v="9"/>
    <n v="1344.42"/>
    <s v="Mar"/>
    <s v="Low"/>
    <s v="Average"/>
    <n v="814.7"/>
    <n v="0.1"/>
    <n v="1209.9780000000001"/>
  </r>
  <r>
    <x v="288"/>
    <x v="161"/>
    <x v="5"/>
    <s v="Sports"/>
    <s v="Black"/>
    <s v="Germany"/>
    <s v="Online"/>
    <n v="93.04"/>
    <n v="8"/>
    <n v="744.32"/>
    <s v="Feb"/>
    <s v="Low"/>
    <s v="Average"/>
    <n v="-600.1"/>
    <n v="0.1"/>
    <n v="669.88800000000003"/>
  </r>
  <r>
    <x v="289"/>
    <x v="159"/>
    <x v="4"/>
    <s v="Casual"/>
    <s v="Red"/>
    <s v="USA"/>
    <s v="Retail Store"/>
    <n v="159.97999999999999"/>
    <n v="17"/>
    <n v="2719.66"/>
    <s v="Jul"/>
    <s v="High"/>
    <s v="Good"/>
    <n v="1975.3399999999997"/>
    <n v="0.1"/>
    <n v="2447.694"/>
  </r>
  <r>
    <x v="290"/>
    <x v="217"/>
    <x v="4"/>
    <s v="Running"/>
    <s v="Green"/>
    <s v="UAE"/>
    <s v="Retail Store"/>
    <n v="36.71"/>
    <n v="1"/>
    <n v="36.71"/>
    <s v="Apr"/>
    <s v="Low"/>
    <s v="Low"/>
    <n v="-2682.95"/>
    <n v="0.1"/>
    <n v="33.039000000000001"/>
  </r>
  <r>
    <x v="291"/>
    <x v="153"/>
    <x v="0"/>
    <s v="Sports"/>
    <s v="Red"/>
    <s v="UAE"/>
    <s v="Online"/>
    <n v="38.22"/>
    <n v="5"/>
    <n v="191.1"/>
    <s v="Mar"/>
    <s v="Low"/>
    <s v="Low"/>
    <n v="154.38999999999999"/>
    <n v="0.1"/>
    <n v="171.99"/>
  </r>
  <r>
    <x v="292"/>
    <x v="218"/>
    <x v="5"/>
    <s v="Sneakers"/>
    <s v="Black"/>
    <s v="USA"/>
    <s v="Online"/>
    <n v="210.97"/>
    <n v="16"/>
    <n v="3375.52"/>
    <s v="Dec"/>
    <s v="High"/>
    <s v="Excellent"/>
    <n v="3184.42"/>
    <n v="0.1"/>
    <n v="3037.9679999999998"/>
  </r>
  <r>
    <x v="293"/>
    <x v="163"/>
    <x v="3"/>
    <s v="Sneakers"/>
    <s v="Green"/>
    <s v="India"/>
    <s v="Mall"/>
    <n v="109.24"/>
    <n v="7"/>
    <n v="764.68"/>
    <s v="May"/>
    <s v="Low"/>
    <s v="Average"/>
    <n v="-2610.84"/>
    <n v="0.1"/>
    <n v="688.21199999999999"/>
  </r>
  <r>
    <x v="294"/>
    <x v="2"/>
    <x v="4"/>
    <s v="Casual"/>
    <s v="Blue"/>
    <s v="USA"/>
    <s v="Online"/>
    <n v="57.95"/>
    <n v="4"/>
    <n v="231.8"/>
    <s v="Aug"/>
    <s v="Low"/>
    <s v="Low"/>
    <n v="-532.87999999999988"/>
    <n v="0.1"/>
    <n v="208.62"/>
  </r>
  <r>
    <x v="295"/>
    <x v="219"/>
    <x v="1"/>
    <s v="Sneakers"/>
    <s v="Red"/>
    <s v="USA"/>
    <s v="Online"/>
    <n v="144.88999999999999"/>
    <n v="14"/>
    <n v="2028.46"/>
    <s v="May"/>
    <s v="High"/>
    <s v="Good"/>
    <n v="1796.66"/>
    <n v="0.1"/>
    <n v="1825.614"/>
  </r>
  <r>
    <x v="296"/>
    <x v="144"/>
    <x v="2"/>
    <s v="Running"/>
    <s v="Green"/>
    <s v="India"/>
    <s v="Mall"/>
    <n v="199.4"/>
    <n v="20"/>
    <n v="3988"/>
    <s v="Sep"/>
    <s v="High"/>
    <s v="Excellent"/>
    <n v="1959.54"/>
    <n v="0.1"/>
    <n v="3589.2000000000003"/>
  </r>
  <r>
    <x v="297"/>
    <x v="155"/>
    <x v="4"/>
    <s v="Formal"/>
    <s v="Black"/>
    <s v="India"/>
    <s v="Retail Store"/>
    <n v="77.48"/>
    <n v="5"/>
    <n v="387.4"/>
    <s v="May"/>
    <s v="Low"/>
    <s v="Low"/>
    <n v="-3600.6"/>
    <n v="0.1"/>
    <n v="348.65999999999997"/>
  </r>
  <r>
    <x v="298"/>
    <x v="155"/>
    <x v="5"/>
    <s v="Casual"/>
    <s v="Green"/>
    <s v="UAE"/>
    <s v="Online"/>
    <n v="167.04"/>
    <n v="19"/>
    <n v="3173.76"/>
    <s v="May"/>
    <s v="High"/>
    <s v="Excellent"/>
    <n v="2786.36"/>
    <n v="0.1"/>
    <n v="2856.3840000000005"/>
  </r>
  <r>
    <x v="299"/>
    <x v="204"/>
    <x v="0"/>
    <s v="Sneakers"/>
    <s v="Grey"/>
    <s v="India"/>
    <s v="Mall"/>
    <n v="48.78"/>
    <n v="12"/>
    <n v="585.36"/>
    <s v="Sep"/>
    <s v="Low"/>
    <s v="Average"/>
    <n v="-2588.4"/>
    <n v="0.1"/>
    <n v="526.82400000000007"/>
  </r>
  <r>
    <x v="300"/>
    <x v="53"/>
    <x v="5"/>
    <s v="Formal"/>
    <s v="Black"/>
    <s v="UAE"/>
    <s v="Retail Store"/>
    <n v="41.37"/>
    <n v="1"/>
    <n v="41.37"/>
    <s v="Oct"/>
    <s v="Low"/>
    <s v="Low"/>
    <n v="-543.99"/>
    <n v="0.1"/>
    <n v="37.232999999999997"/>
  </r>
  <r>
    <x v="301"/>
    <x v="30"/>
    <x v="1"/>
    <s v="Running"/>
    <s v="Blue"/>
    <s v="Saudi Arabia"/>
    <s v="Online"/>
    <n v="146.9"/>
    <n v="9"/>
    <n v="1322.1"/>
    <s v="Jul"/>
    <s v="Low"/>
    <s v="Average"/>
    <n v="1280.73"/>
    <n v="0.1"/>
    <n v="1189.8899999999999"/>
  </r>
  <r>
    <x v="302"/>
    <x v="220"/>
    <x v="1"/>
    <s v="Boots"/>
    <s v="Green"/>
    <s v="USA"/>
    <s v="Mall"/>
    <n v="148.94"/>
    <n v="8"/>
    <n v="1191.52"/>
    <s v="Jun"/>
    <s v="Low"/>
    <s v="Average"/>
    <n v="-130.57999999999993"/>
    <n v="0.1"/>
    <n v="1072.3679999999999"/>
  </r>
  <r>
    <x v="303"/>
    <x v="207"/>
    <x v="0"/>
    <s v="Sports"/>
    <s v="Grey"/>
    <s v="France"/>
    <s v="Mall"/>
    <n v="170.23"/>
    <n v="5"/>
    <n v="851.15"/>
    <s v="Jun"/>
    <s v="Low"/>
    <s v="Average"/>
    <n v="-340.37"/>
    <n v="0.1"/>
    <n v="766.03499999999997"/>
  </r>
  <r>
    <x v="304"/>
    <x v="75"/>
    <x v="1"/>
    <s v="Formal"/>
    <s v="Green"/>
    <s v="UK"/>
    <s v="Online"/>
    <n v="189.74"/>
    <n v="15"/>
    <n v="2846.1"/>
    <s v="Mar"/>
    <s v="High"/>
    <s v="Good"/>
    <n v="1994.9499999999998"/>
    <n v="0.1"/>
    <n v="2561.4899999999998"/>
  </r>
  <r>
    <x v="305"/>
    <x v="31"/>
    <x v="0"/>
    <s v="Sports"/>
    <s v="White"/>
    <s v="USA"/>
    <s v="Online"/>
    <n v="244.69"/>
    <n v="15"/>
    <n v="3670.35"/>
    <s v="Feb"/>
    <s v="High"/>
    <s v="Excellent"/>
    <n v="824.25"/>
    <n v="0.1"/>
    <n v="3303.3150000000001"/>
  </r>
  <r>
    <x v="306"/>
    <x v="221"/>
    <x v="4"/>
    <s v="Sneakers"/>
    <s v="Red"/>
    <s v="Saudi Arabia"/>
    <s v="Mall"/>
    <n v="143.59"/>
    <n v="11"/>
    <n v="1579.49"/>
    <s v="Jan"/>
    <s v="Low"/>
    <s v="Good"/>
    <n v="-2090.8599999999997"/>
    <n v="0.1"/>
    <n v="1421.5409999999999"/>
  </r>
  <r>
    <x v="307"/>
    <x v="78"/>
    <x v="0"/>
    <s v="Boots"/>
    <s v="White"/>
    <s v="France"/>
    <s v="Retail Store"/>
    <n v="101.05"/>
    <n v="9"/>
    <n v="909.45"/>
    <s v="Aug"/>
    <s v="Low"/>
    <s v="Average"/>
    <n v="-670.04"/>
    <n v="0.1"/>
    <n v="818.50500000000011"/>
  </r>
  <r>
    <x v="308"/>
    <x v="222"/>
    <x v="4"/>
    <s v="Running"/>
    <s v="Blue"/>
    <s v="Germany"/>
    <s v="Retail Store"/>
    <n v="204.94"/>
    <n v="11"/>
    <n v="2254.34"/>
    <s v="Jan"/>
    <s v="High"/>
    <s v="Good"/>
    <n v="1344.89"/>
    <n v="0.1"/>
    <n v="2028.9060000000002"/>
  </r>
  <r>
    <x v="309"/>
    <x v="89"/>
    <x v="4"/>
    <s v="Casual"/>
    <s v="Red"/>
    <s v="UAE"/>
    <s v="Retail Store"/>
    <n v="89.58"/>
    <n v="13"/>
    <n v="1164.54"/>
    <s v="Aug"/>
    <s v="Low"/>
    <s v="Average"/>
    <n v="-1089.8000000000002"/>
    <n v="0.1"/>
    <n v="1048.086"/>
  </r>
  <r>
    <x v="310"/>
    <x v="103"/>
    <x v="4"/>
    <s v="Running"/>
    <s v="Green"/>
    <s v="Germany"/>
    <s v="Online"/>
    <n v="126.57"/>
    <n v="17"/>
    <n v="2151.69"/>
    <s v="Jul"/>
    <s v="High"/>
    <s v="Good"/>
    <n v="987.15000000000009"/>
    <n v="0.1"/>
    <n v="1936.5210000000002"/>
  </r>
  <r>
    <x v="311"/>
    <x v="223"/>
    <x v="3"/>
    <s v="Sneakers"/>
    <s v="Blue"/>
    <s v="France"/>
    <s v="Online"/>
    <n v="47.26"/>
    <n v="20"/>
    <n v="945.2"/>
    <s v="Aug"/>
    <s v="Low"/>
    <s v="Average"/>
    <n v="-1206.49"/>
    <n v="0.1"/>
    <n v="850.68000000000006"/>
  </r>
  <r>
    <x v="312"/>
    <x v="26"/>
    <x v="1"/>
    <s v="Sports"/>
    <s v="Blue"/>
    <s v="Germany"/>
    <s v="Mall"/>
    <n v="35.58"/>
    <n v="11"/>
    <n v="391.38"/>
    <s v="Feb"/>
    <s v="Low"/>
    <s v="Low"/>
    <n v="-553.82000000000005"/>
    <n v="0.1"/>
    <n v="352.24200000000002"/>
  </r>
  <r>
    <x v="313"/>
    <x v="224"/>
    <x v="1"/>
    <s v="Formal"/>
    <s v="Blue"/>
    <s v="Germany"/>
    <s v="Online"/>
    <n v="241.78"/>
    <n v="6"/>
    <n v="1450.68"/>
    <s v="Aug"/>
    <s v="Low"/>
    <s v="Average"/>
    <n v="1059.3000000000002"/>
    <n v="0.1"/>
    <n v="1305.6120000000001"/>
  </r>
  <r>
    <x v="314"/>
    <x v="118"/>
    <x v="5"/>
    <s v="Sports"/>
    <s v="Green"/>
    <s v="Saudi Arabia"/>
    <s v="Online"/>
    <n v="213.92"/>
    <n v="20"/>
    <n v="4278.3999999999996"/>
    <s v="Jun"/>
    <s v="High"/>
    <s v="Excellent"/>
    <n v="2827.7199999999993"/>
    <n v="0.1"/>
    <n v="3850.56"/>
  </r>
  <r>
    <x v="315"/>
    <x v="59"/>
    <x v="4"/>
    <s v="Sneakers"/>
    <s v="Green"/>
    <s v="UAE"/>
    <s v="Online"/>
    <n v="183.11"/>
    <n v="13"/>
    <n v="2380.4299999999998"/>
    <s v="Feb"/>
    <s v="High"/>
    <s v="Good"/>
    <n v="-1897.9699999999998"/>
    <n v="0.1"/>
    <n v="2142.3869999999997"/>
  </r>
  <r>
    <x v="316"/>
    <x v="225"/>
    <x v="2"/>
    <s v="Boots"/>
    <s v="Red"/>
    <s v="USA"/>
    <s v="Online"/>
    <n v="119.97"/>
    <n v="5"/>
    <n v="599.85"/>
    <s v="Jan"/>
    <s v="Low"/>
    <s v="Average"/>
    <n v="-1780.58"/>
    <n v="0.1"/>
    <n v="539.86500000000001"/>
  </r>
  <r>
    <x v="317"/>
    <x v="33"/>
    <x v="1"/>
    <s v="Sports"/>
    <s v="Blue"/>
    <s v="Germany"/>
    <s v="Mall"/>
    <n v="68.12"/>
    <n v="8"/>
    <n v="544.96"/>
    <s v="Feb"/>
    <s v="Low"/>
    <s v="Average"/>
    <n v="-54.889999999999986"/>
    <n v="0.1"/>
    <n v="490.46400000000006"/>
  </r>
  <r>
    <x v="318"/>
    <x v="226"/>
    <x v="3"/>
    <s v="Boots"/>
    <s v="Red"/>
    <s v="France"/>
    <s v="Retail Store"/>
    <n v="64.42"/>
    <n v="20"/>
    <n v="1288.4000000000001"/>
    <s v="Jan"/>
    <s v="Low"/>
    <s v="Average"/>
    <n v="743.44"/>
    <n v="0.1"/>
    <n v="1159.5600000000002"/>
  </r>
  <r>
    <x v="319"/>
    <x v="181"/>
    <x v="2"/>
    <s v="Casual"/>
    <s v="Grey"/>
    <s v="France"/>
    <s v="Retail Store"/>
    <n v="85.05"/>
    <n v="3"/>
    <n v="255.15"/>
    <s v="Aug"/>
    <s v="Low"/>
    <s v="Low"/>
    <n v="-1033.25"/>
    <n v="0.1"/>
    <n v="229.63500000000002"/>
  </r>
  <r>
    <x v="320"/>
    <x v="69"/>
    <x v="3"/>
    <s v="Running"/>
    <s v="Black"/>
    <s v="UAE"/>
    <s v="Online"/>
    <n v="150.83000000000001"/>
    <n v="9"/>
    <n v="1357.47"/>
    <s v="Jun"/>
    <s v="Low"/>
    <s v="Average"/>
    <n v="1102.32"/>
    <n v="0.1"/>
    <n v="1221.723"/>
  </r>
  <r>
    <x v="321"/>
    <x v="144"/>
    <x v="5"/>
    <s v="Sneakers"/>
    <s v="Black"/>
    <s v="France"/>
    <s v="Retail Store"/>
    <n v="187.21"/>
    <n v="17"/>
    <n v="3182.57"/>
    <s v="Sep"/>
    <s v="High"/>
    <s v="Excellent"/>
    <n v="1825.1000000000001"/>
    <n v="0.1"/>
    <n v="2864.3130000000001"/>
  </r>
  <r>
    <x v="322"/>
    <x v="52"/>
    <x v="3"/>
    <s v="Sneakers"/>
    <s v="Blue"/>
    <s v="UAE"/>
    <s v="Retail Store"/>
    <n v="175.24"/>
    <n v="15"/>
    <n v="2628.6"/>
    <s v="Dec"/>
    <s v="High"/>
    <s v="Good"/>
    <n v="-553.97000000000025"/>
    <n v="0.1"/>
    <n v="2365.7399999999998"/>
  </r>
  <r>
    <x v="323"/>
    <x v="227"/>
    <x v="3"/>
    <s v="Running"/>
    <s v="Red"/>
    <s v="UK"/>
    <s v="Mall"/>
    <n v="91.59"/>
    <n v="4"/>
    <n v="366.36"/>
    <s v="Apr"/>
    <s v="Low"/>
    <s v="Low"/>
    <n v="-2262.2399999999998"/>
    <n v="0.1"/>
    <n v="329.72400000000005"/>
  </r>
  <r>
    <x v="324"/>
    <x v="181"/>
    <x v="1"/>
    <s v="Sports"/>
    <s v="Green"/>
    <s v="France"/>
    <s v="Mall"/>
    <n v="240.07"/>
    <n v="3"/>
    <n v="720.21"/>
    <s v="Aug"/>
    <s v="Low"/>
    <s v="Average"/>
    <n v="353.85"/>
    <n v="0.1"/>
    <n v="648.18900000000008"/>
  </r>
  <r>
    <x v="325"/>
    <x v="228"/>
    <x v="2"/>
    <s v="Sports"/>
    <s v="Blue"/>
    <s v="Saudi Arabia"/>
    <s v="Online"/>
    <n v="192.34"/>
    <n v="18"/>
    <n v="3462.12"/>
    <s v="Feb"/>
    <s v="High"/>
    <s v="Excellent"/>
    <n v="2741.91"/>
    <n v="0.1"/>
    <n v="3115.9079999999999"/>
  </r>
  <r>
    <x v="326"/>
    <x v="229"/>
    <x v="4"/>
    <s v="Sneakers"/>
    <s v="White"/>
    <s v="USA"/>
    <s v="Online"/>
    <n v="151.96"/>
    <n v="6"/>
    <n v="911.76"/>
    <s v="Dec"/>
    <s v="Low"/>
    <s v="Average"/>
    <n v="-2550.3599999999997"/>
    <n v="0.1"/>
    <n v="820.58400000000006"/>
  </r>
  <r>
    <x v="327"/>
    <x v="1"/>
    <x v="5"/>
    <s v="Running"/>
    <s v="Blue"/>
    <s v="India"/>
    <s v="Mall"/>
    <n v="164.58"/>
    <n v="8"/>
    <n v="1316.64"/>
    <s v="Mar"/>
    <s v="Low"/>
    <s v="Average"/>
    <n v="404.88000000000011"/>
    <n v="0.1"/>
    <n v="1184.9760000000001"/>
  </r>
  <r>
    <x v="328"/>
    <x v="103"/>
    <x v="2"/>
    <s v="Casual"/>
    <s v="Grey"/>
    <s v="USA"/>
    <s v="Online"/>
    <n v="122.31"/>
    <n v="15"/>
    <n v="1834.65"/>
    <s v="Jul"/>
    <s v="Low"/>
    <s v="Good"/>
    <n v="518.01"/>
    <n v="0.1"/>
    <n v="1651.1850000000002"/>
  </r>
  <r>
    <x v="329"/>
    <x v="73"/>
    <x v="1"/>
    <s v="Boots"/>
    <s v="Red"/>
    <s v="India"/>
    <s v="Retail Store"/>
    <n v="84.5"/>
    <n v="13"/>
    <n v="1098.5"/>
    <s v="Jun"/>
    <s v="Low"/>
    <s v="Average"/>
    <n v="-736.15000000000009"/>
    <n v="0.1"/>
    <n v="988.65"/>
  </r>
  <r>
    <x v="330"/>
    <x v="169"/>
    <x v="0"/>
    <s v="Casual"/>
    <s v="Blue"/>
    <s v="UAE"/>
    <s v="Online"/>
    <n v="108.31"/>
    <n v="19"/>
    <n v="2057.89"/>
    <s v="Jul"/>
    <s v="High"/>
    <s v="Good"/>
    <n v="959.38999999999987"/>
    <n v="0.1"/>
    <n v="1852.1009999999999"/>
  </r>
  <r>
    <x v="331"/>
    <x v="230"/>
    <x v="1"/>
    <s v="Sneakers"/>
    <s v="Blue"/>
    <s v="UK"/>
    <s v="Mall"/>
    <n v="196.73"/>
    <n v="15"/>
    <n v="2950.95"/>
    <s v="Aug"/>
    <s v="High"/>
    <s v="Good"/>
    <n v="893.06"/>
    <n v="0.1"/>
    <n v="2655.855"/>
  </r>
  <r>
    <x v="332"/>
    <x v="0"/>
    <x v="3"/>
    <s v="Casual"/>
    <s v="Red"/>
    <s v="India"/>
    <s v="Online"/>
    <n v="33.17"/>
    <n v="19"/>
    <n v="630.23"/>
    <s v="Nov"/>
    <s v="Low"/>
    <s v="Average"/>
    <n v="-2320.7199999999998"/>
    <n v="0.1"/>
    <n v="567.20699999999999"/>
  </r>
  <r>
    <x v="333"/>
    <x v="231"/>
    <x v="3"/>
    <s v="Sports"/>
    <s v="White"/>
    <s v="UK"/>
    <s v="Retail Store"/>
    <n v="55.54"/>
    <n v="17"/>
    <n v="944.18"/>
    <s v="Mar"/>
    <s v="Low"/>
    <s v="Average"/>
    <n v="313.94999999999993"/>
    <n v="0.1"/>
    <n v="849.76199999999994"/>
  </r>
  <r>
    <x v="334"/>
    <x v="142"/>
    <x v="4"/>
    <s v="Sneakers"/>
    <s v="Blue"/>
    <s v="Saudi Arabia"/>
    <s v="Online"/>
    <n v="40.119999999999997"/>
    <n v="8"/>
    <n v="320.95999999999998"/>
    <s v="Dec"/>
    <s v="Low"/>
    <s v="Low"/>
    <n v="-623.22"/>
    <n v="0.1"/>
    <n v="288.86399999999998"/>
  </r>
  <r>
    <x v="335"/>
    <x v="56"/>
    <x v="1"/>
    <s v="Sneakers"/>
    <s v="Blue"/>
    <s v="UK"/>
    <s v="Mall"/>
    <n v="38.96"/>
    <n v="7"/>
    <n v="272.72000000000003"/>
    <s v="May"/>
    <s v="Low"/>
    <s v="Low"/>
    <n v="-48.239999999999952"/>
    <n v="0.1"/>
    <n v="245.44800000000004"/>
  </r>
  <r>
    <x v="336"/>
    <x v="76"/>
    <x v="2"/>
    <s v="Running"/>
    <s v="Grey"/>
    <s v="UAE"/>
    <s v="Online"/>
    <n v="218.2"/>
    <n v="20"/>
    <n v="4364"/>
    <s v="Jun"/>
    <s v="High"/>
    <s v="Excellent"/>
    <n v="4091.2799999999997"/>
    <n v="0.1"/>
    <n v="3927.6"/>
  </r>
  <r>
    <x v="337"/>
    <x v="97"/>
    <x v="3"/>
    <s v="Casual"/>
    <s v="Green"/>
    <s v="India"/>
    <s v="Mall"/>
    <n v="184.8"/>
    <n v="19"/>
    <n v="3511.2"/>
    <s v="Oct"/>
    <s v="High"/>
    <s v="Excellent"/>
    <n v="-852.80000000000018"/>
    <n v="0.1"/>
    <n v="3160.08"/>
  </r>
  <r>
    <x v="338"/>
    <x v="7"/>
    <x v="2"/>
    <s v="Running"/>
    <s v="Black"/>
    <s v="USA"/>
    <s v="Online"/>
    <n v="134.32"/>
    <n v="11"/>
    <n v="1477.52"/>
    <s v="Nov"/>
    <s v="Low"/>
    <s v="Average"/>
    <n v="-2033.6799999999998"/>
    <n v="0.1"/>
    <n v="1329.768"/>
  </r>
  <r>
    <x v="339"/>
    <x v="174"/>
    <x v="4"/>
    <s v="Boots"/>
    <s v="White"/>
    <s v="Saudi Arabia"/>
    <s v="Mall"/>
    <n v="51.52"/>
    <n v="19"/>
    <n v="978.88"/>
    <s v="Nov"/>
    <s v="Low"/>
    <s v="Average"/>
    <n v="-498.64"/>
    <n v="0.1"/>
    <n v="880.99199999999996"/>
  </r>
  <r>
    <x v="340"/>
    <x v="232"/>
    <x v="1"/>
    <s v="Running"/>
    <s v="Red"/>
    <s v="UAE"/>
    <s v="Mall"/>
    <n v="138.16"/>
    <n v="20"/>
    <n v="2763.2"/>
    <s v="Aug"/>
    <s v="High"/>
    <s v="Good"/>
    <n v="1784.3199999999997"/>
    <n v="0.1"/>
    <n v="2486.88"/>
  </r>
  <r>
    <x v="341"/>
    <x v="10"/>
    <x v="5"/>
    <s v="Casual"/>
    <s v="Green"/>
    <s v="Germany"/>
    <s v="Retail Store"/>
    <n v="134.16"/>
    <n v="10"/>
    <n v="1341.6"/>
    <s v="May"/>
    <s v="Low"/>
    <s v="Average"/>
    <n v="-1421.6"/>
    <n v="0.1"/>
    <n v="1207.44"/>
  </r>
  <r>
    <x v="342"/>
    <x v="131"/>
    <x v="1"/>
    <s v="Running"/>
    <s v="White"/>
    <s v="Germany"/>
    <s v="Retail Store"/>
    <n v="68.099999999999994"/>
    <n v="3"/>
    <n v="204.3"/>
    <s v="Aug"/>
    <s v="Low"/>
    <s v="Low"/>
    <n v="-1137.3"/>
    <n v="0.1"/>
    <n v="183.87"/>
  </r>
  <r>
    <x v="343"/>
    <x v="147"/>
    <x v="3"/>
    <s v="Sports"/>
    <s v="Grey"/>
    <s v="UK"/>
    <s v="Retail Store"/>
    <n v="125.45"/>
    <n v="15"/>
    <n v="1881.75"/>
    <s v="Sep"/>
    <s v="Low"/>
    <s v="Good"/>
    <n v="1677.45"/>
    <n v="0.1"/>
    <n v="1693.575"/>
  </r>
  <r>
    <x v="344"/>
    <x v="90"/>
    <x v="5"/>
    <s v="Casual"/>
    <s v="Blue"/>
    <s v="India"/>
    <s v="Mall"/>
    <n v="117.67"/>
    <n v="12"/>
    <n v="1412.04"/>
    <s v="Jun"/>
    <s v="Low"/>
    <s v="Average"/>
    <n v="-469.71000000000004"/>
    <n v="0.1"/>
    <n v="1270.836"/>
  </r>
  <r>
    <x v="345"/>
    <x v="54"/>
    <x v="3"/>
    <s v="Formal"/>
    <s v="Black"/>
    <s v="France"/>
    <s v="Retail Store"/>
    <n v="165.49"/>
    <n v="11"/>
    <n v="1820.39"/>
    <s v="Feb"/>
    <s v="Low"/>
    <s v="Good"/>
    <n v="408.35000000000014"/>
    <n v="0.1"/>
    <n v="1638.3510000000001"/>
  </r>
  <r>
    <x v="346"/>
    <x v="102"/>
    <x v="0"/>
    <s v="Running"/>
    <s v="Blue"/>
    <s v="Germany"/>
    <s v="Mall"/>
    <n v="169.72"/>
    <n v="5"/>
    <n v="848.6"/>
    <s v="May"/>
    <s v="Low"/>
    <s v="Average"/>
    <n v="-971.79000000000008"/>
    <n v="0.1"/>
    <n v="763.74"/>
  </r>
  <r>
    <x v="347"/>
    <x v="233"/>
    <x v="3"/>
    <s v="Sports"/>
    <s v="Grey"/>
    <s v="UAE"/>
    <s v="Retail Store"/>
    <n v="39.97"/>
    <n v="8"/>
    <n v="319.76"/>
    <s v="Aug"/>
    <s v="Low"/>
    <s v="Low"/>
    <n v="-528.84"/>
    <n v="0.1"/>
    <n v="287.78399999999999"/>
  </r>
  <r>
    <x v="348"/>
    <x v="70"/>
    <x v="5"/>
    <s v="Sneakers"/>
    <s v="Red"/>
    <s v="Germany"/>
    <s v="Retail Store"/>
    <n v="112.41"/>
    <n v="6"/>
    <n v="674.46"/>
    <s v="Apr"/>
    <s v="Low"/>
    <s v="Average"/>
    <n v="354.70000000000005"/>
    <n v="0.1"/>
    <n v="607.01400000000001"/>
  </r>
  <r>
    <x v="349"/>
    <x v="234"/>
    <x v="0"/>
    <s v="Formal"/>
    <s v="Grey"/>
    <s v="Germany"/>
    <s v="Online"/>
    <n v="167.69"/>
    <n v="1"/>
    <n v="167.69"/>
    <s v="Sep"/>
    <s v="Low"/>
    <s v="Low"/>
    <n v="-506.77000000000004"/>
    <n v="0.1"/>
    <n v="150.92099999999999"/>
  </r>
  <r>
    <x v="350"/>
    <x v="235"/>
    <x v="4"/>
    <s v="Running"/>
    <s v="Black"/>
    <s v="France"/>
    <s v="Retail Store"/>
    <n v="140.69"/>
    <n v="19"/>
    <n v="2673.11"/>
    <s v="Apr"/>
    <s v="High"/>
    <s v="Good"/>
    <n v="2505.42"/>
    <n v="0.1"/>
    <n v="2405.799"/>
  </r>
  <r>
    <x v="351"/>
    <x v="236"/>
    <x v="4"/>
    <s v="Sneakers"/>
    <s v="Black"/>
    <s v="Saudi Arabia"/>
    <s v="Online"/>
    <n v="218.43"/>
    <n v="16"/>
    <n v="3494.88"/>
    <s v="Nov"/>
    <s v="High"/>
    <s v="Excellent"/>
    <n v="821.77"/>
    <n v="0.1"/>
    <n v="3145.3920000000003"/>
  </r>
  <r>
    <x v="352"/>
    <x v="223"/>
    <x v="4"/>
    <s v="Boots"/>
    <s v="Blue"/>
    <s v="Saudi Arabia"/>
    <s v="Retail Store"/>
    <n v="174.91"/>
    <n v="5"/>
    <n v="874.55"/>
    <s v="Aug"/>
    <s v="Low"/>
    <s v="Average"/>
    <n v="-2620.33"/>
    <n v="0.1"/>
    <n v="787.09500000000003"/>
  </r>
  <r>
    <x v="353"/>
    <x v="237"/>
    <x v="5"/>
    <s v="Running"/>
    <s v="Grey"/>
    <s v="India"/>
    <s v="Online"/>
    <n v="65.849999999999994"/>
    <n v="2"/>
    <n v="131.69999999999999"/>
    <s v="Jul"/>
    <s v="Low"/>
    <s v="Low"/>
    <n v="-742.84999999999991"/>
    <n v="0.1"/>
    <n v="118.52999999999999"/>
  </r>
  <r>
    <x v="354"/>
    <x v="140"/>
    <x v="4"/>
    <s v="Running"/>
    <s v="Red"/>
    <s v="India"/>
    <s v="Retail Store"/>
    <n v="45.53"/>
    <n v="18"/>
    <n v="819.54"/>
    <s v="Jul"/>
    <s v="Low"/>
    <s v="Average"/>
    <n v="687.83999999999992"/>
    <n v="0.1"/>
    <n v="737.58600000000001"/>
  </r>
  <r>
    <x v="355"/>
    <x v="238"/>
    <x v="2"/>
    <s v="Boots"/>
    <s v="Grey"/>
    <s v="USA"/>
    <s v="Online"/>
    <n v="171.33"/>
    <n v="9"/>
    <n v="1541.97"/>
    <s v="Oct"/>
    <s v="Low"/>
    <s v="Good"/>
    <n v="722.43000000000006"/>
    <n v="0.1"/>
    <n v="1387.7730000000001"/>
  </r>
  <r>
    <x v="356"/>
    <x v="35"/>
    <x v="4"/>
    <s v="Sports"/>
    <s v="Grey"/>
    <s v="France"/>
    <s v="Online"/>
    <n v="35.83"/>
    <n v="13"/>
    <n v="465.79"/>
    <s v="Feb"/>
    <s v="Low"/>
    <s v="Low"/>
    <n v="-1076.18"/>
    <n v="0.1"/>
    <n v="419.21100000000001"/>
  </r>
  <r>
    <x v="357"/>
    <x v="158"/>
    <x v="2"/>
    <s v="Formal"/>
    <s v="Grey"/>
    <s v="USA"/>
    <s v="Online"/>
    <n v="158.87"/>
    <n v="20"/>
    <n v="3177.4"/>
    <s v="Apr"/>
    <s v="High"/>
    <s v="Excellent"/>
    <n v="2711.61"/>
    <n v="0.1"/>
    <n v="2859.6600000000003"/>
  </r>
  <r>
    <x v="358"/>
    <x v="64"/>
    <x v="1"/>
    <s v="Sports"/>
    <s v="Red"/>
    <s v="India"/>
    <s v="Retail Store"/>
    <n v="236.85"/>
    <n v="5"/>
    <n v="1184.25"/>
    <s v="Jan"/>
    <s v="Low"/>
    <s v="Average"/>
    <n v="-1993.15"/>
    <n v="0.1"/>
    <n v="1065.825"/>
  </r>
  <r>
    <x v="359"/>
    <x v="132"/>
    <x v="2"/>
    <s v="Casual"/>
    <s v="Blue"/>
    <s v="India"/>
    <s v="Retail Store"/>
    <n v="156.6"/>
    <n v="20"/>
    <n v="3132"/>
    <s v="Mar"/>
    <s v="High"/>
    <s v="Excellent"/>
    <n v="1947.75"/>
    <n v="0.1"/>
    <n v="2818.8"/>
  </r>
  <r>
    <x v="360"/>
    <x v="104"/>
    <x v="2"/>
    <s v="Boots"/>
    <s v="Blue"/>
    <s v="India"/>
    <s v="Retail Store"/>
    <n v="115.4"/>
    <n v="13"/>
    <n v="1500.2"/>
    <s v="Mar"/>
    <s v="Low"/>
    <s v="Good"/>
    <n v="-1631.8"/>
    <n v="0.1"/>
    <n v="1350.18"/>
  </r>
  <r>
    <x v="361"/>
    <x v="239"/>
    <x v="2"/>
    <s v="Formal"/>
    <s v="Green"/>
    <s v="India"/>
    <s v="Retail Store"/>
    <n v="171.52"/>
    <n v="17"/>
    <n v="2915.84"/>
    <s v="Sep"/>
    <s v="High"/>
    <s v="Good"/>
    <n v="1415.64"/>
    <n v="0.1"/>
    <n v="2624.2560000000003"/>
  </r>
  <r>
    <x v="362"/>
    <x v="240"/>
    <x v="4"/>
    <s v="Sports"/>
    <s v="Green"/>
    <s v="USA"/>
    <s v="Retail Store"/>
    <n v="130.82"/>
    <n v="1"/>
    <n v="130.82"/>
    <s v="Sep"/>
    <s v="Low"/>
    <s v="Low"/>
    <n v="-2785.02"/>
    <n v="0.1"/>
    <n v="117.738"/>
  </r>
  <r>
    <x v="363"/>
    <x v="241"/>
    <x v="1"/>
    <s v="Boots"/>
    <s v="Green"/>
    <s v="USA"/>
    <s v="Mall"/>
    <n v="150.04"/>
    <n v="10"/>
    <n v="1500.4"/>
    <s v="Oct"/>
    <s v="Low"/>
    <s v="Good"/>
    <n v="1369.5800000000002"/>
    <n v="0.1"/>
    <n v="1350.3600000000001"/>
  </r>
  <r>
    <x v="364"/>
    <x v="78"/>
    <x v="1"/>
    <s v="Sneakers"/>
    <s v="Grey"/>
    <s v="UK"/>
    <s v="Mall"/>
    <n v="237.12"/>
    <n v="9"/>
    <n v="2134.08"/>
    <s v="Aug"/>
    <s v="High"/>
    <s v="Good"/>
    <n v="633.67999999999984"/>
    <n v="0.1"/>
    <n v="1920.672"/>
  </r>
  <r>
    <x v="365"/>
    <x v="126"/>
    <x v="5"/>
    <s v="Casual"/>
    <s v="Grey"/>
    <s v="UAE"/>
    <s v="Mall"/>
    <n v="114.94"/>
    <n v="19"/>
    <n v="2183.86"/>
    <s v="Jan"/>
    <s v="High"/>
    <s v="Good"/>
    <n v="49.7800000000002"/>
    <n v="0.1"/>
    <n v="1965.4740000000002"/>
  </r>
  <r>
    <x v="366"/>
    <x v="48"/>
    <x v="3"/>
    <s v="Boots"/>
    <s v="White"/>
    <s v="USA"/>
    <s v="Mall"/>
    <n v="241.46"/>
    <n v="13"/>
    <n v="3138.98"/>
    <s v="Nov"/>
    <s v="High"/>
    <s v="Excellent"/>
    <n v="955.11999999999989"/>
    <n v="0.1"/>
    <n v="2825.0819999999999"/>
  </r>
  <r>
    <x v="367"/>
    <x v="242"/>
    <x v="3"/>
    <s v="Running"/>
    <s v="Red"/>
    <s v="France"/>
    <s v="Retail Store"/>
    <n v="229.18"/>
    <n v="4"/>
    <n v="916.72"/>
    <s v="Dec"/>
    <s v="Low"/>
    <s v="Average"/>
    <n v="-2222.2600000000002"/>
    <n v="0.1"/>
    <n v="825.048"/>
  </r>
  <r>
    <x v="368"/>
    <x v="243"/>
    <x v="1"/>
    <s v="Casual"/>
    <s v="Red"/>
    <s v="India"/>
    <s v="Mall"/>
    <n v="73.069999999999993"/>
    <n v="14"/>
    <n v="1022.98"/>
    <s v="Mar"/>
    <s v="Low"/>
    <s v="Average"/>
    <n v="106.25999999999999"/>
    <n v="0.1"/>
    <n v="920.68200000000002"/>
  </r>
  <r>
    <x v="369"/>
    <x v="145"/>
    <x v="1"/>
    <s v="Casual"/>
    <s v="Grey"/>
    <s v="UK"/>
    <s v="Mall"/>
    <n v="45.26"/>
    <n v="2"/>
    <n v="90.52"/>
    <s v="Aug"/>
    <s v="Low"/>
    <s v="Low"/>
    <n v="-932.46"/>
    <n v="0.1"/>
    <n v="81.468000000000004"/>
  </r>
  <r>
    <x v="370"/>
    <x v="182"/>
    <x v="2"/>
    <s v="Formal"/>
    <s v="Blue"/>
    <s v="UK"/>
    <s v="Retail Store"/>
    <n v="52.17"/>
    <n v="16"/>
    <n v="834.72"/>
    <s v="Jun"/>
    <s v="Low"/>
    <s v="Average"/>
    <n v="744.2"/>
    <n v="0.1"/>
    <n v="751.24800000000005"/>
  </r>
  <r>
    <x v="371"/>
    <x v="244"/>
    <x v="2"/>
    <s v="Sports"/>
    <s v="Green"/>
    <s v="Saudi Arabia"/>
    <s v="Mall"/>
    <n v="34.01"/>
    <n v="11"/>
    <n v="374.11"/>
    <s v="Sep"/>
    <s v="Low"/>
    <s v="Low"/>
    <n v="-460.61"/>
    <n v="0.1"/>
    <n v="336.69900000000001"/>
  </r>
  <r>
    <x v="372"/>
    <x v="21"/>
    <x v="2"/>
    <s v="Formal"/>
    <s v="White"/>
    <s v="UK"/>
    <s v="Retail Store"/>
    <n v="50.78"/>
    <n v="9"/>
    <n v="457.02"/>
    <s v="Dec"/>
    <s v="Low"/>
    <s v="Low"/>
    <n v="82.909999999999968"/>
    <n v="0.1"/>
    <n v="411.31799999999998"/>
  </r>
  <r>
    <x v="373"/>
    <x v="14"/>
    <x v="3"/>
    <s v="Sports"/>
    <s v="Blue"/>
    <s v="UAE"/>
    <s v="Online"/>
    <n v="180.26"/>
    <n v="10"/>
    <n v="1802.6"/>
    <s v="Oct"/>
    <s v="Low"/>
    <s v="Good"/>
    <n v="1345.58"/>
    <n v="0.1"/>
    <n v="1622.34"/>
  </r>
  <r>
    <x v="374"/>
    <x v="29"/>
    <x v="4"/>
    <s v="Formal"/>
    <s v="Blue"/>
    <s v="India"/>
    <s v="Mall"/>
    <n v="45.66"/>
    <n v="16"/>
    <n v="730.56"/>
    <s v="Dec"/>
    <s v="Low"/>
    <s v="Average"/>
    <n v="-1072.04"/>
    <n v="0.1"/>
    <n v="657.50400000000002"/>
  </r>
  <r>
    <x v="375"/>
    <x v="245"/>
    <x v="0"/>
    <s v="Sneakers"/>
    <s v="Green"/>
    <s v="India"/>
    <s v="Retail Store"/>
    <n v="100.17"/>
    <n v="10"/>
    <n v="1001.7"/>
    <s v="May"/>
    <s v="Low"/>
    <s v="Average"/>
    <n v="271.1400000000001"/>
    <n v="0.1"/>
    <n v="901.53000000000009"/>
  </r>
  <r>
    <x v="376"/>
    <x v="159"/>
    <x v="3"/>
    <s v="Sports"/>
    <s v="Black"/>
    <s v="France"/>
    <s v="Mall"/>
    <n v="215.87"/>
    <n v="12"/>
    <n v="2590.44"/>
    <s v="Jul"/>
    <s v="High"/>
    <s v="Good"/>
    <n v="1588.74"/>
    <n v="0.1"/>
    <n v="2331.3960000000002"/>
  </r>
  <r>
    <x v="377"/>
    <x v="26"/>
    <x v="5"/>
    <s v="Boots"/>
    <s v="Blue"/>
    <s v="UAE"/>
    <s v="Retail Store"/>
    <n v="35.119999999999997"/>
    <n v="12"/>
    <n v="421.44"/>
    <s v="Feb"/>
    <s v="Low"/>
    <s v="Low"/>
    <n v="-2169"/>
    <n v="0.1"/>
    <n v="379.29599999999999"/>
  </r>
  <r>
    <x v="378"/>
    <x v="246"/>
    <x v="2"/>
    <s v="Sports"/>
    <s v="Grey"/>
    <s v="UAE"/>
    <s v="Retail Store"/>
    <n v="209.18"/>
    <n v="7"/>
    <n v="1464.26"/>
    <s v="Apr"/>
    <s v="Low"/>
    <s v="Average"/>
    <n v="1042.82"/>
    <n v="0.1"/>
    <n v="1317.8340000000001"/>
  </r>
  <r>
    <x v="379"/>
    <x v="18"/>
    <x v="2"/>
    <s v="Boots"/>
    <s v="Grey"/>
    <s v="UK"/>
    <s v="Online"/>
    <n v="92.01"/>
    <n v="4"/>
    <n v="368.04"/>
    <s v="Mar"/>
    <s v="Low"/>
    <s v="Low"/>
    <n v="-1096.22"/>
    <n v="0.1"/>
    <n v="331.23600000000005"/>
  </r>
  <r>
    <x v="380"/>
    <x v="160"/>
    <x v="3"/>
    <s v="Boots"/>
    <s v="White"/>
    <s v="USA"/>
    <s v="Online"/>
    <n v="56"/>
    <n v="17"/>
    <n v="952"/>
    <s v="Jan"/>
    <s v="Low"/>
    <s v="Average"/>
    <n v="583.96"/>
    <n v="0.1"/>
    <n v="856.80000000000007"/>
  </r>
  <r>
    <x v="381"/>
    <x v="184"/>
    <x v="1"/>
    <s v="Formal"/>
    <s v="Black"/>
    <s v="UAE"/>
    <s v="Online"/>
    <n v="183.28"/>
    <n v="11"/>
    <n v="2016.08"/>
    <s v="Jul"/>
    <s v="High"/>
    <s v="Good"/>
    <n v="1064.08"/>
    <n v="0.1"/>
    <n v="1814.472"/>
  </r>
  <r>
    <x v="382"/>
    <x v="247"/>
    <x v="3"/>
    <s v="Formal"/>
    <s v="Green"/>
    <s v="Germany"/>
    <s v="Retail Store"/>
    <n v="168.37"/>
    <n v="18"/>
    <n v="3030.66"/>
    <s v="Jan"/>
    <s v="High"/>
    <s v="Excellent"/>
    <n v="1014.5799999999999"/>
    <n v="0.1"/>
    <n v="2727.5940000000001"/>
  </r>
  <r>
    <x v="383"/>
    <x v="183"/>
    <x v="4"/>
    <s v="Sports"/>
    <s v="Blue"/>
    <s v="UAE"/>
    <s v="Online"/>
    <n v="223.04"/>
    <n v="7"/>
    <n v="1561.28"/>
    <s v="Nov"/>
    <s v="Low"/>
    <s v="Good"/>
    <n v="-1469.3799999999999"/>
    <n v="0.1"/>
    <n v="1405.152"/>
  </r>
  <r>
    <x v="384"/>
    <x v="248"/>
    <x v="3"/>
    <s v="Sneakers"/>
    <s v="Green"/>
    <s v="UAE"/>
    <s v="Online"/>
    <n v="191.72"/>
    <n v="19"/>
    <n v="3642.68"/>
    <s v="Feb"/>
    <s v="High"/>
    <s v="Excellent"/>
    <n v="2081.3999999999996"/>
    <n v="0.1"/>
    <n v="3278.4119999999998"/>
  </r>
  <r>
    <x v="385"/>
    <x v="75"/>
    <x v="3"/>
    <s v="Running"/>
    <s v="Red"/>
    <s v="Saudi Arabia"/>
    <s v="Retail Store"/>
    <n v="206.77"/>
    <n v="14"/>
    <n v="2894.78"/>
    <s v="Mar"/>
    <s v="High"/>
    <s v="Good"/>
    <n v="-747.89999999999964"/>
    <n v="0.1"/>
    <n v="2605.3020000000001"/>
  </r>
  <r>
    <x v="386"/>
    <x v="46"/>
    <x v="0"/>
    <s v="Running"/>
    <s v="Blue"/>
    <s v="India"/>
    <s v="Mall"/>
    <n v="92.05"/>
    <n v="10"/>
    <n v="920.5"/>
    <s v="Apr"/>
    <s v="Low"/>
    <s v="Average"/>
    <n v="-1974.2800000000002"/>
    <n v="0.1"/>
    <n v="828.45"/>
  </r>
  <r>
    <x v="387"/>
    <x v="54"/>
    <x v="4"/>
    <s v="Formal"/>
    <s v="Green"/>
    <s v="India"/>
    <s v="Mall"/>
    <n v="69.040000000000006"/>
    <n v="11"/>
    <n v="759.44"/>
    <s v="Feb"/>
    <s v="Low"/>
    <s v="Average"/>
    <n v="-161.05999999999995"/>
    <n v="0.1"/>
    <n v="683.49600000000009"/>
  </r>
  <r>
    <x v="388"/>
    <x v="249"/>
    <x v="2"/>
    <s v="Formal"/>
    <s v="Blue"/>
    <s v="UK"/>
    <s v="Online"/>
    <n v="195.14"/>
    <n v="5"/>
    <n v="975.7"/>
    <s v="Sep"/>
    <s v="Low"/>
    <s v="Average"/>
    <n v="216.26"/>
    <n v="0.1"/>
    <n v="878.13000000000011"/>
  </r>
  <r>
    <x v="389"/>
    <x v="92"/>
    <x v="1"/>
    <s v="Formal"/>
    <s v="Green"/>
    <s v="France"/>
    <s v="Mall"/>
    <n v="207.5"/>
    <n v="6"/>
    <n v="1245"/>
    <s v="Jun"/>
    <s v="Low"/>
    <s v="Average"/>
    <n v="269.29999999999995"/>
    <n v="0.1"/>
    <n v="1120.5"/>
  </r>
  <r>
    <x v="390"/>
    <x v="46"/>
    <x v="1"/>
    <s v="Sports"/>
    <s v="Blue"/>
    <s v="India"/>
    <s v="Mall"/>
    <n v="247.91"/>
    <n v="1"/>
    <n v="247.91"/>
    <s v="Apr"/>
    <s v="Low"/>
    <s v="Low"/>
    <n v="-997.09"/>
    <n v="0.1"/>
    <n v="223.119"/>
  </r>
  <r>
    <x v="391"/>
    <x v="119"/>
    <x v="2"/>
    <s v="Boots"/>
    <s v="Red"/>
    <s v="Saudi Arabia"/>
    <s v="Retail Store"/>
    <n v="120.78"/>
    <n v="6"/>
    <n v="724.68"/>
    <s v="Apr"/>
    <s v="Low"/>
    <s v="Average"/>
    <n v="476.77"/>
    <n v="0.1"/>
    <n v="652.21199999999999"/>
  </r>
  <r>
    <x v="392"/>
    <x v="250"/>
    <x v="0"/>
    <s v="Formal"/>
    <s v="Green"/>
    <s v="USA"/>
    <s v="Online"/>
    <n v="111.84"/>
    <n v="11"/>
    <n v="1230.24"/>
    <s v="Sep"/>
    <s v="Low"/>
    <s v="Average"/>
    <n v="505.56000000000006"/>
    <n v="0.1"/>
    <n v="1107.2160000000001"/>
  </r>
  <r>
    <x v="393"/>
    <x v="1"/>
    <x v="4"/>
    <s v="Casual"/>
    <s v="Black"/>
    <s v="France"/>
    <s v="Retail Store"/>
    <n v="200.81"/>
    <n v="16"/>
    <n v="3212.96"/>
    <s v="Mar"/>
    <s v="High"/>
    <s v="Excellent"/>
    <n v="1982.72"/>
    <n v="0.1"/>
    <n v="2891.6640000000002"/>
  </r>
  <r>
    <x v="394"/>
    <x v="251"/>
    <x v="4"/>
    <s v="Sports"/>
    <s v="Blue"/>
    <s v="India"/>
    <s v="Mall"/>
    <n v="104.98"/>
    <n v="15"/>
    <n v="1574.7"/>
    <s v="May"/>
    <s v="Low"/>
    <s v="Good"/>
    <n v="-1638.26"/>
    <n v="0.1"/>
    <n v="1417.23"/>
  </r>
  <r>
    <x v="395"/>
    <x v="125"/>
    <x v="4"/>
    <s v="Boots"/>
    <s v="Blue"/>
    <s v="UAE"/>
    <s v="Online"/>
    <n v="234.77"/>
    <n v="1"/>
    <n v="234.77"/>
    <s v="Oct"/>
    <s v="Low"/>
    <s v="Low"/>
    <n v="-1339.93"/>
    <n v="0.1"/>
    <n v="211.29300000000001"/>
  </r>
  <r>
    <x v="396"/>
    <x v="202"/>
    <x v="5"/>
    <s v="Sports"/>
    <s v="White"/>
    <s v="Germany"/>
    <s v="Mall"/>
    <n v="218.85"/>
    <n v="4"/>
    <n v="875.4"/>
    <s v="Feb"/>
    <s v="Low"/>
    <s v="Average"/>
    <n v="640.63"/>
    <n v="0.1"/>
    <n v="787.86"/>
  </r>
  <r>
    <x v="397"/>
    <x v="252"/>
    <x v="1"/>
    <s v="Running"/>
    <s v="Green"/>
    <s v="France"/>
    <s v="Retail Store"/>
    <n v="124.38"/>
    <n v="10"/>
    <n v="1243.8"/>
    <s v="Sep"/>
    <s v="Low"/>
    <s v="Average"/>
    <n v="368.4"/>
    <n v="0.1"/>
    <n v="1119.42"/>
  </r>
  <r>
    <x v="398"/>
    <x v="253"/>
    <x v="3"/>
    <s v="Casual"/>
    <s v="Red"/>
    <s v="UK"/>
    <s v="Retail Store"/>
    <n v="195.19"/>
    <n v="8"/>
    <n v="1561.52"/>
    <s v="Nov"/>
    <s v="Low"/>
    <s v="Good"/>
    <n v="317.72000000000003"/>
    <n v="0.1"/>
    <n v="1405.3679999999999"/>
  </r>
  <r>
    <x v="399"/>
    <x v="128"/>
    <x v="5"/>
    <s v="Boots"/>
    <s v="Grey"/>
    <s v="Germany"/>
    <s v="Mall"/>
    <n v="196"/>
    <n v="12"/>
    <n v="2352"/>
    <s v="Nov"/>
    <s v="High"/>
    <s v="Good"/>
    <n v="790.48"/>
    <n v="0.1"/>
    <n v="2116.8000000000002"/>
  </r>
  <r>
    <x v="400"/>
    <x v="254"/>
    <x v="3"/>
    <s v="Boots"/>
    <s v="Grey"/>
    <s v="Saudi Arabia"/>
    <s v="Online"/>
    <n v="52.69"/>
    <n v="7"/>
    <n v="368.83"/>
    <s v="Dec"/>
    <s v="Low"/>
    <s v="Low"/>
    <n v="-1983.17"/>
    <n v="0.1"/>
    <n v="331.947"/>
  </r>
  <r>
    <x v="401"/>
    <x v="255"/>
    <x v="2"/>
    <s v="Boots"/>
    <s v="Blue"/>
    <s v="USA"/>
    <s v="Mall"/>
    <n v="228.56"/>
    <n v="15"/>
    <n v="3428.4"/>
    <s v="Sep"/>
    <s v="High"/>
    <s v="Excellent"/>
    <n v="3059.57"/>
    <n v="0.1"/>
    <n v="3085.56"/>
  </r>
  <r>
    <x v="402"/>
    <x v="25"/>
    <x v="2"/>
    <s v="Sneakers"/>
    <s v="White"/>
    <s v="India"/>
    <s v="Mall"/>
    <n v="141.16"/>
    <n v="2"/>
    <n v="282.32"/>
    <s v="Feb"/>
    <s v="Low"/>
    <s v="Low"/>
    <n v="-3146.08"/>
    <n v="0.1"/>
    <n v="254.08799999999999"/>
  </r>
  <r>
    <x v="403"/>
    <x v="132"/>
    <x v="4"/>
    <s v="Sneakers"/>
    <s v="Red"/>
    <s v="USA"/>
    <s v="Mall"/>
    <n v="211.82"/>
    <n v="6"/>
    <n v="1270.92"/>
    <s v="Mar"/>
    <s v="Low"/>
    <s v="Average"/>
    <n v="988.60000000000014"/>
    <n v="0.1"/>
    <n v="1143.8280000000002"/>
  </r>
  <r>
    <x v="404"/>
    <x v="256"/>
    <x v="5"/>
    <s v="Running"/>
    <s v="Grey"/>
    <s v="Germany"/>
    <s v="Online"/>
    <n v="100.41"/>
    <n v="19"/>
    <n v="1907.79"/>
    <s v="Apr"/>
    <s v="Low"/>
    <s v="Good"/>
    <n v="636.86999999999989"/>
    <n v="0.1"/>
    <n v="1717.011"/>
  </r>
  <r>
    <x v="405"/>
    <x v="131"/>
    <x v="2"/>
    <s v="Formal"/>
    <s v="Red"/>
    <s v="India"/>
    <s v="Online"/>
    <n v="227.02"/>
    <n v="5"/>
    <n v="1135.0999999999999"/>
    <s v="Aug"/>
    <s v="Low"/>
    <s v="Average"/>
    <n v="-772.69"/>
    <n v="0.1"/>
    <n v="1021.5899999999999"/>
  </r>
  <r>
    <x v="406"/>
    <x v="62"/>
    <x v="1"/>
    <s v="Sports"/>
    <s v="Green"/>
    <s v="USA"/>
    <s v="Retail Store"/>
    <n v="115.62"/>
    <n v="15"/>
    <n v="1734.3"/>
    <s v="Oct"/>
    <s v="Low"/>
    <s v="Good"/>
    <n v="599.20000000000005"/>
    <n v="0.1"/>
    <n v="1560.87"/>
  </r>
  <r>
    <x v="407"/>
    <x v="156"/>
    <x v="1"/>
    <s v="Casual"/>
    <s v="Grey"/>
    <s v="USA"/>
    <s v="Online"/>
    <n v="32.380000000000003"/>
    <n v="1"/>
    <n v="32.380000000000003"/>
    <s v="May"/>
    <s v="Low"/>
    <s v="Low"/>
    <n v="-1701.9199999999998"/>
    <n v="0.1"/>
    <n v="29.142000000000003"/>
  </r>
  <r>
    <x v="408"/>
    <x v="2"/>
    <x v="1"/>
    <s v="Running"/>
    <s v="Grey"/>
    <s v="USA"/>
    <s v="Online"/>
    <n v="229.18"/>
    <n v="12"/>
    <n v="2750.16"/>
    <s v="Aug"/>
    <s v="High"/>
    <s v="Good"/>
    <n v="2717.7799999999997"/>
    <n v="0.1"/>
    <n v="2475.1439999999998"/>
  </r>
  <r>
    <x v="409"/>
    <x v="145"/>
    <x v="4"/>
    <s v="Formal"/>
    <s v="White"/>
    <s v="Saudi Arabia"/>
    <s v="Online"/>
    <n v="50.08"/>
    <n v="2"/>
    <n v="100.16"/>
    <s v="Aug"/>
    <s v="Low"/>
    <s v="Low"/>
    <n v="-2650"/>
    <n v="0.1"/>
    <n v="90.144000000000005"/>
  </r>
  <r>
    <x v="410"/>
    <x v="174"/>
    <x v="4"/>
    <s v="Formal"/>
    <s v="Red"/>
    <s v="Saudi Arabia"/>
    <s v="Retail Store"/>
    <n v="100.25"/>
    <n v="14"/>
    <n v="1403.5"/>
    <s v="Nov"/>
    <s v="Low"/>
    <s v="Average"/>
    <n v="1303.3399999999999"/>
    <n v="0.1"/>
    <n v="1263.1500000000001"/>
  </r>
  <r>
    <x v="411"/>
    <x v="257"/>
    <x v="1"/>
    <s v="Boots"/>
    <s v="Grey"/>
    <s v="UK"/>
    <s v="Mall"/>
    <n v="239.01"/>
    <n v="3"/>
    <n v="717.03"/>
    <s v="Jul"/>
    <s v="Low"/>
    <s v="Average"/>
    <n v="-686.47"/>
    <n v="0.1"/>
    <n v="645.327"/>
  </r>
  <r>
    <x v="412"/>
    <x v="196"/>
    <x v="3"/>
    <s v="Sneakers"/>
    <s v="Red"/>
    <s v="India"/>
    <s v="Online"/>
    <n v="239.13"/>
    <n v="4"/>
    <n v="956.52"/>
    <s v="Jun"/>
    <s v="Low"/>
    <s v="Average"/>
    <n v="239.49"/>
    <n v="0.1"/>
    <n v="860.86800000000005"/>
  </r>
  <r>
    <x v="413"/>
    <x v="217"/>
    <x v="0"/>
    <s v="Sports"/>
    <s v="Red"/>
    <s v="UAE"/>
    <s v="Mall"/>
    <n v="156.16"/>
    <n v="1"/>
    <n v="156.16"/>
    <s v="Apr"/>
    <s v="Low"/>
    <s v="Low"/>
    <n v="-800.36"/>
    <n v="0.1"/>
    <n v="140.54400000000001"/>
  </r>
  <r>
    <x v="414"/>
    <x v="258"/>
    <x v="2"/>
    <s v="Formal"/>
    <s v="White"/>
    <s v="UK"/>
    <s v="Retail Store"/>
    <n v="169"/>
    <n v="14"/>
    <n v="2366"/>
    <s v="Oct"/>
    <s v="High"/>
    <s v="Good"/>
    <n v="2209.84"/>
    <n v="0.1"/>
    <n v="2129.4"/>
  </r>
  <r>
    <x v="415"/>
    <x v="259"/>
    <x v="4"/>
    <s v="Casual"/>
    <s v="Green"/>
    <s v="Saudi Arabia"/>
    <s v="Online"/>
    <n v="128.66"/>
    <n v="5"/>
    <n v="643.29999999999995"/>
    <s v="Jun"/>
    <s v="Low"/>
    <s v="Average"/>
    <n v="-1722.7"/>
    <n v="0.1"/>
    <n v="578.97"/>
  </r>
  <r>
    <x v="416"/>
    <x v="226"/>
    <x v="2"/>
    <s v="Running"/>
    <s v="White"/>
    <s v="UK"/>
    <s v="Online"/>
    <n v="94.51"/>
    <n v="14"/>
    <n v="1323.14"/>
    <s v="Jan"/>
    <s v="Low"/>
    <s v="Average"/>
    <n v="679.84000000000015"/>
    <n v="0.1"/>
    <n v="1190.826"/>
  </r>
  <r>
    <x v="417"/>
    <x v="210"/>
    <x v="0"/>
    <s v="Formal"/>
    <s v="Grey"/>
    <s v="UAE"/>
    <s v="Mall"/>
    <n v="102.31"/>
    <n v="20"/>
    <n v="2046.2"/>
    <s v="Feb"/>
    <s v="High"/>
    <s v="Good"/>
    <n v="723.06"/>
    <n v="0.1"/>
    <n v="1841.5800000000002"/>
  </r>
  <r>
    <x v="418"/>
    <x v="222"/>
    <x v="1"/>
    <s v="Running"/>
    <s v="Red"/>
    <s v="Germany"/>
    <s v="Online"/>
    <n v="177.95"/>
    <n v="8"/>
    <n v="1423.6"/>
    <s v="Jan"/>
    <s v="Low"/>
    <s v="Average"/>
    <n v="-622.60000000000014"/>
    <n v="0.1"/>
    <n v="1281.24"/>
  </r>
  <r>
    <x v="419"/>
    <x v="24"/>
    <x v="0"/>
    <s v="Casual"/>
    <s v="Grey"/>
    <s v="France"/>
    <s v="Online"/>
    <n v="195.52"/>
    <n v="7"/>
    <n v="1368.64"/>
    <s v="Oct"/>
    <s v="Low"/>
    <s v="Average"/>
    <n v="-54.959999999999809"/>
    <n v="0.1"/>
    <n v="1231.7760000000001"/>
  </r>
  <r>
    <x v="420"/>
    <x v="260"/>
    <x v="2"/>
    <s v="Sneakers"/>
    <s v="Green"/>
    <s v="Saudi Arabia"/>
    <s v="Retail Store"/>
    <n v="204.15"/>
    <n v="11"/>
    <n v="2245.65"/>
    <s v="Oct"/>
    <s v="High"/>
    <s v="Good"/>
    <n v="877.01"/>
    <n v="0.1"/>
    <n v="2021.085"/>
  </r>
  <r>
    <x v="421"/>
    <x v="261"/>
    <x v="3"/>
    <s v="Boots"/>
    <s v="Grey"/>
    <s v="UK"/>
    <s v="Retail Store"/>
    <n v="203.72"/>
    <n v="10"/>
    <n v="2037.2"/>
    <s v="May"/>
    <s v="High"/>
    <s v="Good"/>
    <n v="-208.45000000000005"/>
    <n v="0.1"/>
    <n v="1833.48"/>
  </r>
  <r>
    <x v="422"/>
    <x v="157"/>
    <x v="0"/>
    <s v="Sneakers"/>
    <s v="Grey"/>
    <s v="UAE"/>
    <s v="Online"/>
    <n v="50.07"/>
    <n v="9"/>
    <n v="450.63"/>
    <s v="Jun"/>
    <s v="Low"/>
    <s v="Low"/>
    <n v="-1586.5700000000002"/>
    <n v="0.1"/>
    <n v="405.56700000000001"/>
  </r>
  <r>
    <x v="423"/>
    <x v="262"/>
    <x v="2"/>
    <s v="Formal"/>
    <s v="Black"/>
    <s v="France"/>
    <s v="Mall"/>
    <n v="138.77000000000001"/>
    <n v="14"/>
    <n v="1942.78"/>
    <s v="Nov"/>
    <s v="Low"/>
    <s v="Good"/>
    <n v="1492.15"/>
    <n v="0.1"/>
    <n v="1748.502"/>
  </r>
  <r>
    <x v="424"/>
    <x v="263"/>
    <x v="2"/>
    <s v="Sports"/>
    <s v="Green"/>
    <s v="Germany"/>
    <s v="Retail Store"/>
    <n v="42.66"/>
    <n v="13"/>
    <n v="554.58000000000004"/>
    <s v="Dec"/>
    <s v="Low"/>
    <s v="Average"/>
    <n v="-1388.1999999999998"/>
    <n v="0.1"/>
    <n v="499.12200000000007"/>
  </r>
  <r>
    <x v="425"/>
    <x v="132"/>
    <x v="5"/>
    <s v="Casual"/>
    <s v="Grey"/>
    <s v="Germany"/>
    <s v="Online"/>
    <n v="150.9"/>
    <n v="10"/>
    <n v="1509"/>
    <s v="Mar"/>
    <s v="Low"/>
    <s v="Good"/>
    <n v="954.42"/>
    <n v="0.1"/>
    <n v="1358.1000000000001"/>
  </r>
  <r>
    <x v="426"/>
    <x v="80"/>
    <x v="1"/>
    <s v="Casual"/>
    <s v="Red"/>
    <s v="USA"/>
    <s v="Mall"/>
    <n v="127.14"/>
    <n v="10"/>
    <n v="1271.4000000000001"/>
    <s v="Apr"/>
    <s v="Low"/>
    <s v="Average"/>
    <n v="-237.59999999999991"/>
    <n v="0.1"/>
    <n v="1144.2600000000002"/>
  </r>
  <r>
    <x v="427"/>
    <x v="184"/>
    <x v="2"/>
    <s v="Sneakers"/>
    <s v="White"/>
    <s v="Germany"/>
    <s v="Online"/>
    <n v="225.29"/>
    <n v="14"/>
    <n v="3154.06"/>
    <s v="Jul"/>
    <s v="High"/>
    <s v="Excellent"/>
    <n v="1882.6599999999999"/>
    <n v="0.1"/>
    <n v="2838.654"/>
  </r>
  <r>
    <x v="428"/>
    <x v="156"/>
    <x v="4"/>
    <s v="Boots"/>
    <s v="Black"/>
    <s v="Germany"/>
    <s v="Retail Store"/>
    <n v="107.2"/>
    <n v="7"/>
    <n v="750.4"/>
    <s v="May"/>
    <s v="Low"/>
    <s v="Average"/>
    <n v="-2403.66"/>
    <n v="0.1"/>
    <n v="675.36"/>
  </r>
  <r>
    <x v="429"/>
    <x v="143"/>
    <x v="1"/>
    <s v="Casual"/>
    <s v="Black"/>
    <s v="France"/>
    <s v="Retail Store"/>
    <n v="55.75"/>
    <n v="18"/>
    <n v="1003.5"/>
    <s v="Feb"/>
    <s v="Low"/>
    <s v="Average"/>
    <n v="253.10000000000002"/>
    <n v="0.1"/>
    <n v="903.15"/>
  </r>
  <r>
    <x v="430"/>
    <x v="264"/>
    <x v="2"/>
    <s v="Running"/>
    <s v="Black"/>
    <s v="UK"/>
    <s v="Mall"/>
    <n v="61.46"/>
    <n v="20"/>
    <n v="1229.2"/>
    <s v="Dec"/>
    <s v="Low"/>
    <s v="Average"/>
    <n v="225.70000000000005"/>
    <n v="0.1"/>
    <n v="1106.28"/>
  </r>
  <r>
    <x v="431"/>
    <x v="263"/>
    <x v="3"/>
    <s v="Formal"/>
    <s v="White"/>
    <s v="Saudi Arabia"/>
    <s v="Retail Store"/>
    <n v="197.53"/>
    <n v="18"/>
    <n v="3555.54"/>
    <s v="Dec"/>
    <s v="High"/>
    <s v="Excellent"/>
    <n v="2326.34"/>
    <n v="0.1"/>
    <n v="3199.9859999999999"/>
  </r>
  <r>
    <x v="432"/>
    <x v="76"/>
    <x v="3"/>
    <s v="Casual"/>
    <s v="Green"/>
    <s v="USA"/>
    <s v="Mall"/>
    <n v="166.01"/>
    <n v="1"/>
    <n v="166.01"/>
    <s v="Jun"/>
    <s v="Low"/>
    <s v="Low"/>
    <n v="-3389.5299999999997"/>
    <n v="0.1"/>
    <n v="149.40899999999999"/>
  </r>
  <r>
    <x v="433"/>
    <x v="180"/>
    <x v="1"/>
    <s v="Sneakers"/>
    <s v="Green"/>
    <s v="UK"/>
    <s v="Retail Store"/>
    <n v="52.25"/>
    <n v="8"/>
    <n v="418"/>
    <s v="Sep"/>
    <s v="Low"/>
    <s v="Low"/>
    <n v="251.99"/>
    <n v="0.1"/>
    <n v="376.2"/>
  </r>
  <r>
    <x v="434"/>
    <x v="219"/>
    <x v="4"/>
    <s v="Sports"/>
    <s v="Red"/>
    <s v="Germany"/>
    <s v="Mall"/>
    <n v="48.5"/>
    <n v="18"/>
    <n v="873"/>
    <s v="May"/>
    <s v="Low"/>
    <s v="Average"/>
    <n v="455"/>
    <n v="0.1"/>
    <n v="785.7"/>
  </r>
  <r>
    <x v="435"/>
    <x v="265"/>
    <x v="4"/>
    <s v="Sports"/>
    <s v="Blue"/>
    <s v="India"/>
    <s v="Retail Store"/>
    <n v="184.21"/>
    <n v="12"/>
    <n v="2210.52"/>
    <s v="Nov"/>
    <s v="High"/>
    <s v="Good"/>
    <n v="1337.52"/>
    <n v="0.1"/>
    <n v="1989.4680000000001"/>
  </r>
  <r>
    <x v="436"/>
    <x v="266"/>
    <x v="1"/>
    <s v="Formal"/>
    <s v="Blue"/>
    <s v="UK"/>
    <s v="Retail Store"/>
    <n v="46.01"/>
    <n v="4"/>
    <n v="184.04"/>
    <s v="Aug"/>
    <s v="Low"/>
    <s v="Low"/>
    <n v="-2026.48"/>
    <n v="0.1"/>
    <n v="165.636"/>
  </r>
  <r>
    <x v="437"/>
    <x v="69"/>
    <x v="0"/>
    <s v="Sneakers"/>
    <s v="White"/>
    <s v="UAE"/>
    <s v="Online"/>
    <n v="210.81"/>
    <n v="14"/>
    <n v="2951.34"/>
    <s v="Jun"/>
    <s v="High"/>
    <s v="Good"/>
    <n v="2767.3"/>
    <n v="0.1"/>
    <n v="2656.2060000000001"/>
  </r>
  <r>
    <x v="438"/>
    <x v="267"/>
    <x v="2"/>
    <s v="Sneakers"/>
    <s v="Grey"/>
    <s v="UAE"/>
    <s v="Retail Store"/>
    <n v="185.37"/>
    <n v="9"/>
    <n v="1668.33"/>
    <s v="Jan"/>
    <s v="Low"/>
    <s v="Good"/>
    <n v="-1283.0100000000002"/>
    <n v="0.1"/>
    <n v="1501.4970000000001"/>
  </r>
  <r>
    <x v="439"/>
    <x v="122"/>
    <x v="3"/>
    <s v="Sports"/>
    <s v="White"/>
    <s v="Germany"/>
    <s v="Mall"/>
    <n v="47.9"/>
    <n v="5"/>
    <n v="239.5"/>
    <s v="Jun"/>
    <s v="Low"/>
    <s v="Low"/>
    <n v="-1428.83"/>
    <n v="0.1"/>
    <n v="215.55"/>
  </r>
  <r>
    <x v="440"/>
    <x v="13"/>
    <x v="2"/>
    <s v="Boots"/>
    <s v="Green"/>
    <s v="France"/>
    <s v="Retail Store"/>
    <n v="48.66"/>
    <n v="16"/>
    <n v="778.56"/>
    <s v="May"/>
    <s v="Low"/>
    <s v="Average"/>
    <n v="539.05999999999995"/>
    <n v="0.1"/>
    <n v="700.70399999999995"/>
  </r>
  <r>
    <x v="441"/>
    <x v="115"/>
    <x v="5"/>
    <s v="Casual"/>
    <s v="Green"/>
    <s v="Saudi Arabia"/>
    <s v="Retail Store"/>
    <n v="247.06"/>
    <n v="16"/>
    <n v="3952.96"/>
    <s v="Sep"/>
    <s v="High"/>
    <s v="Excellent"/>
    <n v="3174.4"/>
    <n v="0.1"/>
    <n v="3557.6640000000002"/>
  </r>
  <r>
    <x v="442"/>
    <x v="268"/>
    <x v="1"/>
    <s v="Sneakers"/>
    <s v="Red"/>
    <s v="UK"/>
    <s v="Mall"/>
    <n v="112.34"/>
    <n v="5"/>
    <n v="561.70000000000005"/>
    <s v="Mar"/>
    <s v="Low"/>
    <s v="Average"/>
    <n v="-3391.26"/>
    <n v="0.1"/>
    <n v="505.53000000000003"/>
  </r>
  <r>
    <x v="443"/>
    <x v="174"/>
    <x v="2"/>
    <s v="Running"/>
    <s v="Black"/>
    <s v="Saudi Arabia"/>
    <s v="Mall"/>
    <n v="111.54"/>
    <n v="2"/>
    <n v="223.08"/>
    <s v="Nov"/>
    <s v="Low"/>
    <s v="Low"/>
    <n v="-338.62"/>
    <n v="0.1"/>
    <n v="200.77200000000002"/>
  </r>
  <r>
    <x v="444"/>
    <x v="222"/>
    <x v="5"/>
    <s v="Casual"/>
    <s v="Green"/>
    <s v="UK"/>
    <s v="Online"/>
    <n v="208.82"/>
    <n v="1"/>
    <n v="208.82"/>
    <s v="Jan"/>
    <s v="Low"/>
    <s v="Low"/>
    <n v="-14.260000000000019"/>
    <n v="0.1"/>
    <n v="187.93799999999999"/>
  </r>
  <r>
    <x v="445"/>
    <x v="109"/>
    <x v="0"/>
    <s v="Casual"/>
    <s v="Grey"/>
    <s v="Germany"/>
    <s v="Retail Store"/>
    <n v="238.39"/>
    <n v="5"/>
    <n v="1191.95"/>
    <s v="Dec"/>
    <s v="Low"/>
    <s v="Average"/>
    <n v="983.13000000000011"/>
    <n v="0.1"/>
    <n v="1072.7550000000001"/>
  </r>
  <r>
    <x v="446"/>
    <x v="41"/>
    <x v="1"/>
    <s v="Boots"/>
    <s v="Grey"/>
    <s v="Germany"/>
    <s v="Mall"/>
    <n v="246.92"/>
    <n v="20"/>
    <n v="4938.3999999999996"/>
    <s v="Jan"/>
    <s v="High"/>
    <s v="Excellent"/>
    <n v="3746.45"/>
    <n v="0.1"/>
    <n v="4444.5599999999995"/>
  </r>
  <r>
    <x v="447"/>
    <x v="43"/>
    <x v="0"/>
    <s v="Sneakers"/>
    <s v="Grey"/>
    <s v="Germany"/>
    <s v="Online"/>
    <n v="195.74"/>
    <n v="1"/>
    <n v="195.74"/>
    <s v="Sep"/>
    <s v="Low"/>
    <s v="Low"/>
    <n v="-4742.66"/>
    <n v="0.1"/>
    <n v="176.16600000000003"/>
  </r>
  <r>
    <x v="448"/>
    <x v="267"/>
    <x v="1"/>
    <s v="Sports"/>
    <s v="Grey"/>
    <s v="France"/>
    <s v="Online"/>
    <n v="112.78"/>
    <n v="17"/>
    <n v="1917.26"/>
    <s v="Jan"/>
    <s v="Low"/>
    <s v="Good"/>
    <n v="1721.52"/>
    <n v="0.1"/>
    <n v="1725.5340000000001"/>
  </r>
  <r>
    <x v="449"/>
    <x v="252"/>
    <x v="3"/>
    <s v="Running"/>
    <s v="Black"/>
    <s v="India"/>
    <s v="Online"/>
    <n v="48.37"/>
    <n v="14"/>
    <n v="677.18"/>
    <s v="Sep"/>
    <s v="Low"/>
    <s v="Average"/>
    <n v="-1240.08"/>
    <n v="0.1"/>
    <n v="609.46199999999999"/>
  </r>
  <r>
    <x v="450"/>
    <x v="155"/>
    <x v="2"/>
    <s v="Sneakers"/>
    <s v="Blue"/>
    <s v="Saudi Arabia"/>
    <s v="Retail Store"/>
    <n v="200.97"/>
    <n v="7"/>
    <n v="1406.79"/>
    <s v="May"/>
    <s v="Low"/>
    <s v="Average"/>
    <n v="729.61"/>
    <n v="0.1"/>
    <n v="1266.1110000000001"/>
  </r>
  <r>
    <x v="451"/>
    <x v="12"/>
    <x v="0"/>
    <s v="Sports"/>
    <s v="Red"/>
    <s v="Germany"/>
    <s v="Mall"/>
    <n v="152.85"/>
    <n v="13"/>
    <n v="1987.05"/>
    <s v="May"/>
    <s v="Low"/>
    <s v="Good"/>
    <n v="580.26"/>
    <n v="0.1"/>
    <n v="1788.345"/>
  </r>
  <r>
    <x v="452"/>
    <x v="111"/>
    <x v="4"/>
    <s v="Boots"/>
    <s v="Black"/>
    <s v="UAE"/>
    <s v="Mall"/>
    <n v="123.33"/>
    <n v="8"/>
    <n v="986.64"/>
    <s v="May"/>
    <s v="Low"/>
    <s v="Average"/>
    <n v="-1000.41"/>
    <n v="0.1"/>
    <n v="887.976"/>
  </r>
  <r>
    <x v="453"/>
    <x v="226"/>
    <x v="5"/>
    <s v="Formal"/>
    <s v="Red"/>
    <s v="India"/>
    <s v="Retail Store"/>
    <n v="229.4"/>
    <n v="3"/>
    <n v="688.2"/>
    <s v="Jan"/>
    <s v="Low"/>
    <s v="Average"/>
    <n v="-298.43999999999994"/>
    <n v="0.1"/>
    <n v="619.38000000000011"/>
  </r>
  <r>
    <x v="454"/>
    <x v="269"/>
    <x v="1"/>
    <s v="Casual"/>
    <s v="Black"/>
    <s v="Germany"/>
    <s v="Retail Store"/>
    <n v="54.46"/>
    <n v="1"/>
    <n v="54.46"/>
    <s v="Jan"/>
    <s v="Low"/>
    <s v="Low"/>
    <n v="-633.74"/>
    <n v="0.1"/>
    <n v="49.014000000000003"/>
  </r>
  <r>
    <x v="455"/>
    <x v="203"/>
    <x v="2"/>
    <s v="Running"/>
    <s v="Grey"/>
    <s v="USA"/>
    <s v="Online"/>
    <n v="138.38"/>
    <n v="11"/>
    <n v="1522.18"/>
    <s v="Nov"/>
    <s v="Low"/>
    <s v="Good"/>
    <n v="1467.72"/>
    <n v="0.1"/>
    <n v="1369.962"/>
  </r>
  <r>
    <x v="456"/>
    <x v="99"/>
    <x v="5"/>
    <s v="Sports"/>
    <s v="Black"/>
    <s v="USA"/>
    <s v="Mall"/>
    <n v="32.5"/>
    <n v="19"/>
    <n v="617.5"/>
    <s v="Apr"/>
    <s v="Low"/>
    <s v="Average"/>
    <n v="-904.68000000000006"/>
    <n v="0.1"/>
    <n v="555.75"/>
  </r>
  <r>
    <x v="457"/>
    <x v="270"/>
    <x v="2"/>
    <s v="Boots"/>
    <s v="Black"/>
    <s v="UK"/>
    <s v="Retail Store"/>
    <n v="133.11000000000001"/>
    <n v="18"/>
    <n v="2395.98"/>
    <s v="May"/>
    <s v="High"/>
    <s v="Good"/>
    <n v="1778.48"/>
    <n v="0.1"/>
    <n v="2156.3820000000001"/>
  </r>
  <r>
    <x v="458"/>
    <x v="267"/>
    <x v="2"/>
    <s v="Casual"/>
    <s v="Green"/>
    <s v="Saudi Arabia"/>
    <s v="Retail Store"/>
    <n v="42.39"/>
    <n v="7"/>
    <n v="296.73"/>
    <s v="Jan"/>
    <s v="Low"/>
    <s v="Low"/>
    <n v="-2099.25"/>
    <n v="0.1"/>
    <n v="267.05700000000002"/>
  </r>
  <r>
    <x v="459"/>
    <x v="195"/>
    <x v="3"/>
    <s v="Sneakers"/>
    <s v="White"/>
    <s v="India"/>
    <s v="Retail Store"/>
    <n v="56.14"/>
    <n v="10"/>
    <n v="561.4"/>
    <s v="Feb"/>
    <s v="Low"/>
    <s v="Average"/>
    <n v="264.66999999999996"/>
    <n v="0.1"/>
    <n v="505.26"/>
  </r>
  <r>
    <x v="460"/>
    <x v="105"/>
    <x v="4"/>
    <s v="Formal"/>
    <s v="Green"/>
    <s v="UK"/>
    <s v="Mall"/>
    <n v="55.86"/>
    <n v="18"/>
    <n v="1005.48"/>
    <s v="Dec"/>
    <s v="Low"/>
    <s v="Average"/>
    <n v="444.08000000000004"/>
    <n v="0.1"/>
    <n v="904.93200000000002"/>
  </r>
  <r>
    <x v="461"/>
    <x v="26"/>
    <x v="1"/>
    <s v="Sports"/>
    <s v="Black"/>
    <s v="USA"/>
    <s v="Retail Store"/>
    <n v="172.83"/>
    <n v="17"/>
    <n v="2938.11"/>
    <s v="Feb"/>
    <s v="High"/>
    <s v="Good"/>
    <n v="1932.63"/>
    <n v="0.1"/>
    <n v="2644.299"/>
  </r>
  <r>
    <x v="462"/>
    <x v="271"/>
    <x v="4"/>
    <s v="Sneakers"/>
    <s v="Grey"/>
    <s v="India"/>
    <s v="Retail Store"/>
    <n v="194.13"/>
    <n v="3"/>
    <n v="582.39"/>
    <s v="Apr"/>
    <s v="Low"/>
    <s v="Average"/>
    <n v="-2355.7200000000003"/>
    <n v="0.1"/>
    <n v="524.15099999999995"/>
  </r>
  <r>
    <x v="463"/>
    <x v="272"/>
    <x v="1"/>
    <s v="Sports"/>
    <s v="Red"/>
    <s v="Germany"/>
    <s v="Online"/>
    <n v="158.34"/>
    <n v="1"/>
    <n v="158.34"/>
    <s v="Jun"/>
    <s v="Low"/>
    <s v="Low"/>
    <n v="-424.04999999999995"/>
    <n v="0.1"/>
    <n v="142.506"/>
  </r>
  <r>
    <x v="464"/>
    <x v="273"/>
    <x v="5"/>
    <s v="Formal"/>
    <s v="White"/>
    <s v="UAE"/>
    <s v="Mall"/>
    <n v="241.68"/>
    <n v="18"/>
    <n v="4350.24"/>
    <s v="Jul"/>
    <s v="High"/>
    <s v="Excellent"/>
    <n v="4191.8999999999996"/>
    <n v="0.1"/>
    <n v="3915.2159999999999"/>
  </r>
  <r>
    <x v="465"/>
    <x v="107"/>
    <x v="0"/>
    <s v="Sneakers"/>
    <s v="Blue"/>
    <s v="Saudi Arabia"/>
    <s v="Online"/>
    <n v="112.47"/>
    <n v="13"/>
    <n v="1462.11"/>
    <s v="Dec"/>
    <s v="Low"/>
    <s v="Average"/>
    <n v="-2888.13"/>
    <n v="0.1"/>
    <n v="1315.8989999999999"/>
  </r>
  <r>
    <x v="466"/>
    <x v="50"/>
    <x v="4"/>
    <s v="Casual"/>
    <s v="Red"/>
    <s v="UAE"/>
    <s v="Mall"/>
    <n v="92.86"/>
    <n v="3"/>
    <n v="278.58"/>
    <s v="Feb"/>
    <s v="Low"/>
    <s v="Low"/>
    <n v="-1183.53"/>
    <n v="0.1"/>
    <n v="250.72199999999998"/>
  </r>
  <r>
    <x v="467"/>
    <x v="19"/>
    <x v="4"/>
    <s v="Sports"/>
    <s v="Black"/>
    <s v="USA"/>
    <s v="Online"/>
    <n v="221.09"/>
    <n v="13"/>
    <n v="2874.17"/>
    <s v="Mar"/>
    <s v="High"/>
    <s v="Good"/>
    <n v="2595.59"/>
    <n v="0.1"/>
    <n v="2586.7530000000002"/>
  </r>
  <r>
    <x v="468"/>
    <x v="274"/>
    <x v="4"/>
    <s v="Sports"/>
    <s v="Black"/>
    <s v="UK"/>
    <s v="Online"/>
    <n v="79.19"/>
    <n v="15"/>
    <n v="1187.8499999999999"/>
    <s v="Jun"/>
    <s v="Low"/>
    <s v="Average"/>
    <n v="-1686.3200000000002"/>
    <n v="0.1"/>
    <n v="1069.0650000000001"/>
  </r>
  <r>
    <x v="469"/>
    <x v="46"/>
    <x v="5"/>
    <s v="Sneakers"/>
    <s v="Grey"/>
    <s v="India"/>
    <s v="Retail Store"/>
    <n v="241.91"/>
    <n v="14"/>
    <n v="3386.74"/>
    <s v="Apr"/>
    <s v="High"/>
    <s v="Excellent"/>
    <n v="2198.89"/>
    <n v="0.1"/>
    <n v="3048.0659999999998"/>
  </r>
  <r>
    <x v="470"/>
    <x v="6"/>
    <x v="0"/>
    <s v="Sports"/>
    <s v="Grey"/>
    <s v="USA"/>
    <s v="Mall"/>
    <n v="32.67"/>
    <n v="1"/>
    <n v="32.67"/>
    <s v="Feb"/>
    <s v="Low"/>
    <s v="Low"/>
    <n v="-3354.0699999999997"/>
    <n v="0.1"/>
    <n v="29.403000000000002"/>
  </r>
  <r>
    <x v="471"/>
    <x v="146"/>
    <x v="5"/>
    <s v="Running"/>
    <s v="Blue"/>
    <s v="Germany"/>
    <s v="Retail Store"/>
    <n v="243.37"/>
    <n v="11"/>
    <n v="2677.07"/>
    <s v="Nov"/>
    <s v="High"/>
    <s v="Good"/>
    <n v="2644.4"/>
    <n v="0.1"/>
    <n v="2409.3630000000003"/>
  </r>
  <r>
    <x v="472"/>
    <x v="275"/>
    <x v="3"/>
    <s v="Sneakers"/>
    <s v="Grey"/>
    <s v="UK"/>
    <s v="Mall"/>
    <n v="39.5"/>
    <n v="18"/>
    <n v="711"/>
    <s v="Feb"/>
    <s v="Low"/>
    <s v="Average"/>
    <n v="-1966.0700000000002"/>
    <n v="0.1"/>
    <n v="639.9"/>
  </r>
  <r>
    <x v="473"/>
    <x v="276"/>
    <x v="3"/>
    <s v="Sports"/>
    <s v="Blue"/>
    <s v="France"/>
    <s v="Retail Store"/>
    <n v="226.05"/>
    <n v="6"/>
    <n v="1356.3"/>
    <s v="Jul"/>
    <s v="Low"/>
    <s v="Average"/>
    <n v="645.29999999999995"/>
    <n v="0.1"/>
    <n v="1220.67"/>
  </r>
  <r>
    <x v="474"/>
    <x v="153"/>
    <x v="3"/>
    <s v="Formal"/>
    <s v="Blue"/>
    <s v="Germany"/>
    <s v="Retail Store"/>
    <n v="146.09"/>
    <n v="3"/>
    <n v="438.27"/>
    <s v="Mar"/>
    <s v="Low"/>
    <s v="Low"/>
    <n v="-918.03"/>
    <n v="0.1"/>
    <n v="394.44299999999998"/>
  </r>
  <r>
    <x v="475"/>
    <x v="147"/>
    <x v="4"/>
    <s v="Sports"/>
    <s v="White"/>
    <s v="UAE"/>
    <s v="Mall"/>
    <n v="248.45"/>
    <n v="3"/>
    <n v="745.35"/>
    <s v="Sep"/>
    <s v="Low"/>
    <s v="Average"/>
    <n v="307.08000000000004"/>
    <n v="0.1"/>
    <n v="670.81500000000005"/>
  </r>
  <r>
    <x v="476"/>
    <x v="277"/>
    <x v="2"/>
    <s v="Casual"/>
    <s v="Red"/>
    <s v="USA"/>
    <s v="Online"/>
    <n v="46.24"/>
    <n v="20"/>
    <n v="924.8"/>
    <s v="Sep"/>
    <s v="Low"/>
    <s v="Average"/>
    <n v="179.44999999999993"/>
    <n v="0.1"/>
    <n v="832.31999999999994"/>
  </r>
  <r>
    <x v="477"/>
    <x v="76"/>
    <x v="5"/>
    <s v="Sports"/>
    <s v="Grey"/>
    <s v="Germany"/>
    <s v="Retail Store"/>
    <n v="151.85"/>
    <n v="1"/>
    <n v="151.85"/>
    <s v="Jun"/>
    <s v="Low"/>
    <s v="Low"/>
    <n v="-772.94999999999993"/>
    <n v="0.1"/>
    <n v="136.66499999999999"/>
  </r>
  <r>
    <x v="478"/>
    <x v="89"/>
    <x v="5"/>
    <s v="Boots"/>
    <s v="Grey"/>
    <s v="UK"/>
    <s v="Retail Store"/>
    <n v="243.25"/>
    <n v="11"/>
    <n v="2675.75"/>
    <s v="Aug"/>
    <s v="High"/>
    <s v="Good"/>
    <n v="2523.9"/>
    <n v="0.1"/>
    <n v="2408.1750000000002"/>
  </r>
  <r>
    <x v="479"/>
    <x v="77"/>
    <x v="1"/>
    <s v="Casual"/>
    <s v="Red"/>
    <s v="France"/>
    <s v="Online"/>
    <n v="145.08000000000001"/>
    <n v="20"/>
    <n v="2901.6"/>
    <s v="Jun"/>
    <s v="High"/>
    <s v="Good"/>
    <n v="225.84999999999991"/>
    <n v="0.1"/>
    <n v="2611.44"/>
  </r>
  <r>
    <x v="480"/>
    <x v="165"/>
    <x v="4"/>
    <s v="Boots"/>
    <s v="Green"/>
    <s v="UAE"/>
    <s v="Retail Store"/>
    <n v="168.47"/>
    <n v="11"/>
    <n v="1853.17"/>
    <s v="Jul"/>
    <s v="Low"/>
    <s v="Good"/>
    <n v="-1048.4299999999998"/>
    <n v="0.1"/>
    <n v="1667.8530000000001"/>
  </r>
  <r>
    <x v="481"/>
    <x v="260"/>
    <x v="4"/>
    <s v="Formal"/>
    <s v="Blue"/>
    <s v="Saudi Arabia"/>
    <s v="Retail Store"/>
    <n v="183.06"/>
    <n v="8"/>
    <n v="1464.48"/>
    <s v="Oct"/>
    <s v="Low"/>
    <s v="Average"/>
    <n v="-388.69000000000005"/>
    <n v="0.1"/>
    <n v="1318.0320000000002"/>
  </r>
  <r>
    <x v="482"/>
    <x v="213"/>
    <x v="2"/>
    <s v="Casual"/>
    <s v="Grey"/>
    <s v="India"/>
    <s v="Online"/>
    <n v="130"/>
    <n v="4"/>
    <n v="520"/>
    <s v="Jul"/>
    <s v="Low"/>
    <s v="Average"/>
    <n v="-944.48"/>
    <n v="0.1"/>
    <n v="468"/>
  </r>
  <r>
    <x v="483"/>
    <x v="278"/>
    <x v="0"/>
    <s v="Boots"/>
    <s v="Red"/>
    <s v="UAE"/>
    <s v="Online"/>
    <n v="168.06"/>
    <n v="18"/>
    <n v="3025.08"/>
    <s v="Dec"/>
    <s v="High"/>
    <s v="Excellent"/>
    <n v="2505.08"/>
    <n v="0.1"/>
    <n v="2722.5720000000001"/>
  </r>
  <r>
    <x v="484"/>
    <x v="279"/>
    <x v="1"/>
    <s v="Running"/>
    <s v="Red"/>
    <s v="UAE"/>
    <s v="Retail Store"/>
    <n v="158.55000000000001"/>
    <n v="10"/>
    <n v="1585.5"/>
    <s v="Aug"/>
    <s v="Low"/>
    <s v="Good"/>
    <n v="-1439.58"/>
    <n v="0.1"/>
    <n v="1426.95"/>
  </r>
  <r>
    <x v="485"/>
    <x v="1"/>
    <x v="3"/>
    <s v="Sports"/>
    <s v="Green"/>
    <s v="UK"/>
    <s v="Mall"/>
    <n v="228.25"/>
    <n v="10"/>
    <n v="2282.5"/>
    <s v="Mar"/>
    <s v="High"/>
    <s v="Good"/>
    <n v="697"/>
    <n v="0.1"/>
    <n v="2054.25"/>
  </r>
  <r>
    <x v="486"/>
    <x v="2"/>
    <x v="0"/>
    <s v="Formal"/>
    <s v="Grey"/>
    <s v="Germany"/>
    <s v="Mall"/>
    <n v="40"/>
    <n v="13"/>
    <n v="520"/>
    <s v="Aug"/>
    <s v="Low"/>
    <s v="Average"/>
    <n v="-1762.5"/>
    <n v="0.1"/>
    <n v="468"/>
  </r>
  <r>
    <x v="487"/>
    <x v="188"/>
    <x v="2"/>
    <s v="Boots"/>
    <s v="Red"/>
    <s v="India"/>
    <s v="Online"/>
    <n v="91.81"/>
    <n v="18"/>
    <n v="1652.58"/>
    <s v="Jul"/>
    <s v="Low"/>
    <s v="Good"/>
    <n v="1132.58"/>
    <n v="0.1"/>
    <n v="1487.3219999999999"/>
  </r>
  <r>
    <x v="488"/>
    <x v="280"/>
    <x v="2"/>
    <s v="Boots"/>
    <s v="Black"/>
    <s v="USA"/>
    <s v="Online"/>
    <n v="239.09"/>
    <n v="18"/>
    <n v="4303.62"/>
    <s v="Jul"/>
    <s v="High"/>
    <s v="Excellent"/>
    <n v="2651.04"/>
    <n v="0.1"/>
    <n v="3873.2579999999998"/>
  </r>
  <r>
    <x v="489"/>
    <x v="139"/>
    <x v="3"/>
    <s v="Boots"/>
    <s v="Grey"/>
    <s v="USA"/>
    <s v="Mall"/>
    <n v="225.86"/>
    <n v="12"/>
    <n v="2710.32"/>
    <s v="Dec"/>
    <s v="High"/>
    <s v="Good"/>
    <n v="-1593.2999999999997"/>
    <n v="0.1"/>
    <n v="2439.288"/>
  </r>
  <r>
    <x v="490"/>
    <x v="203"/>
    <x v="4"/>
    <s v="Formal"/>
    <s v="Black"/>
    <s v="USA"/>
    <s v="Online"/>
    <n v="130.24"/>
    <n v="13"/>
    <n v="1693.12"/>
    <s v="Nov"/>
    <s v="Low"/>
    <s v="Good"/>
    <n v="-1017.2000000000003"/>
    <n v="0.1"/>
    <n v="1523.808"/>
  </r>
  <r>
    <x v="491"/>
    <x v="113"/>
    <x v="2"/>
    <s v="Boots"/>
    <s v="Grey"/>
    <s v="India"/>
    <s v="Mall"/>
    <n v="166.43"/>
    <n v="8"/>
    <n v="1331.44"/>
    <s v="May"/>
    <s v="Low"/>
    <s v="Average"/>
    <n v="-361.67999999999984"/>
    <n v="0.1"/>
    <n v="1198.296"/>
  </r>
  <r>
    <x v="492"/>
    <x v="83"/>
    <x v="3"/>
    <s v="Formal"/>
    <s v="Blue"/>
    <s v="Germany"/>
    <s v="Retail Store"/>
    <n v="91.02"/>
    <n v="19"/>
    <n v="1729.38"/>
    <s v="Dec"/>
    <s v="Low"/>
    <s v="Good"/>
    <n v="397.94000000000005"/>
    <n v="0.1"/>
    <n v="1556.4420000000002"/>
  </r>
  <r>
    <x v="493"/>
    <x v="67"/>
    <x v="1"/>
    <s v="Sneakers"/>
    <s v="White"/>
    <s v="France"/>
    <s v="Online"/>
    <n v="71.39"/>
    <n v="19"/>
    <n v="1356.41"/>
    <s v="Dec"/>
    <s v="Low"/>
    <s v="Average"/>
    <n v="-372.97"/>
    <n v="0.1"/>
    <n v="1220.769"/>
  </r>
  <r>
    <x v="494"/>
    <x v="147"/>
    <x v="4"/>
    <s v="Formal"/>
    <s v="Black"/>
    <s v="USA"/>
    <s v="Mall"/>
    <n v="132.01"/>
    <n v="4"/>
    <n v="528.04"/>
    <s v="Sep"/>
    <s v="Low"/>
    <s v="Average"/>
    <n v="-828.37000000000012"/>
    <n v="0.1"/>
    <n v="475.23599999999999"/>
  </r>
  <r>
    <x v="495"/>
    <x v="281"/>
    <x v="4"/>
    <s v="Sports"/>
    <s v="Red"/>
    <s v="Saudi Arabia"/>
    <s v="Online"/>
    <n v="107.74"/>
    <n v="12"/>
    <n v="1292.8800000000001"/>
    <s v="Mar"/>
    <s v="Low"/>
    <s v="Average"/>
    <n v="764.84000000000015"/>
    <n v="0.1"/>
    <n v="1163.5920000000001"/>
  </r>
  <r>
    <x v="496"/>
    <x v="282"/>
    <x v="4"/>
    <s v="Formal"/>
    <s v="Black"/>
    <s v="Germany"/>
    <s v="Mall"/>
    <n v="158.4"/>
    <n v="16"/>
    <n v="2534.4"/>
    <s v="Sep"/>
    <s v="High"/>
    <s v="Good"/>
    <n v="1241.52"/>
    <n v="0.1"/>
    <n v="2280.96"/>
  </r>
  <r>
    <x v="497"/>
    <x v="82"/>
    <x v="4"/>
    <s v="Running"/>
    <s v="Blue"/>
    <s v="USA"/>
    <s v="Mall"/>
    <n v="47.1"/>
    <n v="15"/>
    <n v="706.5"/>
    <s v="Dec"/>
    <s v="Low"/>
    <s v="Average"/>
    <n v="-1827.9"/>
    <n v="0.1"/>
    <n v="635.85"/>
  </r>
  <r>
    <x v="498"/>
    <x v="177"/>
    <x v="4"/>
    <s v="Boots"/>
    <s v="Black"/>
    <s v="UAE"/>
    <s v="Online"/>
    <n v="244.37"/>
    <n v="1"/>
    <n v="244.37"/>
    <s v="Feb"/>
    <s v="Low"/>
    <s v="Low"/>
    <n v="-462.13"/>
    <n v="0.1"/>
    <n v="219.93300000000002"/>
  </r>
  <r>
    <x v="499"/>
    <x v="111"/>
    <x v="3"/>
    <s v="Sneakers"/>
    <s v="White"/>
    <s v="France"/>
    <s v="Mall"/>
    <n v="246.97"/>
    <n v="17"/>
    <n v="4198.49"/>
    <s v="May"/>
    <s v="High"/>
    <s v="Excellent"/>
    <n v="3954.12"/>
    <n v="0.1"/>
    <n v="3778.6410000000001"/>
  </r>
  <r>
    <x v="500"/>
    <x v="224"/>
    <x v="3"/>
    <s v="Formal"/>
    <s v="Green"/>
    <s v="UK"/>
    <s v="Online"/>
    <n v="183.6"/>
    <n v="15"/>
    <n v="2754"/>
    <s v="Aug"/>
    <s v="High"/>
    <s v="Good"/>
    <n v="-1444.4899999999998"/>
    <n v="0.1"/>
    <n v="2478.6"/>
  </r>
  <r>
    <x v="501"/>
    <x v="0"/>
    <x v="5"/>
    <s v="Running"/>
    <s v="Green"/>
    <s v="India"/>
    <s v="Online"/>
    <n v="147.94"/>
    <n v="14"/>
    <n v="2071.16"/>
    <s v="Nov"/>
    <s v="High"/>
    <s v="Good"/>
    <n v="-682.84000000000015"/>
    <n v="0.1"/>
    <n v="1864.0439999999999"/>
  </r>
  <r>
    <x v="502"/>
    <x v="230"/>
    <x v="5"/>
    <s v="Formal"/>
    <s v="Black"/>
    <s v="UAE"/>
    <s v="Online"/>
    <n v="98.1"/>
    <n v="19"/>
    <n v="1863.9"/>
    <s v="Aug"/>
    <s v="Low"/>
    <s v="Good"/>
    <n v="-207.25999999999976"/>
    <n v="0.1"/>
    <n v="1677.5100000000002"/>
  </r>
  <r>
    <x v="503"/>
    <x v="256"/>
    <x v="1"/>
    <s v="Running"/>
    <s v="Grey"/>
    <s v="USA"/>
    <s v="Mall"/>
    <n v="209.03"/>
    <n v="9"/>
    <n v="1881.27"/>
    <s v="Apr"/>
    <s v="Low"/>
    <s v="Good"/>
    <n v="17.369999999999891"/>
    <n v="0.1"/>
    <n v="1693.143"/>
  </r>
  <r>
    <x v="504"/>
    <x v="46"/>
    <x v="4"/>
    <s v="Casual"/>
    <s v="Red"/>
    <s v="USA"/>
    <s v="Retail Store"/>
    <n v="180.64"/>
    <n v="12"/>
    <n v="2167.6799999999998"/>
    <s v="Apr"/>
    <s v="High"/>
    <s v="Good"/>
    <n v="286.40999999999985"/>
    <n v="0.1"/>
    <n v="1950.9119999999998"/>
  </r>
  <r>
    <x v="505"/>
    <x v="263"/>
    <x v="2"/>
    <s v="Boots"/>
    <s v="Blue"/>
    <s v="India"/>
    <s v="Retail Store"/>
    <n v="65.78"/>
    <n v="16"/>
    <n v="1052.48"/>
    <s v="Dec"/>
    <s v="Low"/>
    <s v="Average"/>
    <n v="-1115.1999999999998"/>
    <n v="0.1"/>
    <n v="947.23200000000008"/>
  </r>
  <r>
    <x v="506"/>
    <x v="81"/>
    <x v="2"/>
    <s v="Running"/>
    <s v="Blue"/>
    <s v="France"/>
    <s v="Retail Store"/>
    <n v="230.4"/>
    <n v="13"/>
    <n v="2995.2"/>
    <s v="Nov"/>
    <s v="High"/>
    <s v="Good"/>
    <n v="1942.7199999999998"/>
    <n v="0.1"/>
    <n v="2695.68"/>
  </r>
  <r>
    <x v="507"/>
    <x v="283"/>
    <x v="1"/>
    <s v="Boots"/>
    <s v="Blue"/>
    <s v="India"/>
    <s v="Mall"/>
    <n v="210.96"/>
    <n v="6"/>
    <n v="1265.76"/>
    <s v="Nov"/>
    <s v="Low"/>
    <s v="Average"/>
    <n v="-1729.4399999999998"/>
    <n v="0.1"/>
    <n v="1139.184"/>
  </r>
  <r>
    <x v="508"/>
    <x v="275"/>
    <x v="4"/>
    <s v="Running"/>
    <s v="White"/>
    <s v="France"/>
    <s v="Online"/>
    <n v="238.96"/>
    <n v="5"/>
    <n v="1194.8"/>
    <s v="Feb"/>
    <s v="Low"/>
    <s v="Average"/>
    <n v="-70.960000000000036"/>
    <n v="0.1"/>
    <n v="1075.32"/>
  </r>
  <r>
    <x v="509"/>
    <x v="38"/>
    <x v="1"/>
    <s v="Casual"/>
    <s v="Grey"/>
    <s v="Germany"/>
    <s v="Retail Store"/>
    <n v="189.66"/>
    <n v="12"/>
    <n v="2275.92"/>
    <s v="Apr"/>
    <s v="High"/>
    <s v="Good"/>
    <n v="1081.1200000000001"/>
    <n v="0.1"/>
    <n v="2048.328"/>
  </r>
  <r>
    <x v="510"/>
    <x v="236"/>
    <x v="2"/>
    <s v="Formal"/>
    <s v="Red"/>
    <s v="UK"/>
    <s v="Retail Store"/>
    <n v="164.95"/>
    <n v="5"/>
    <n v="824.75"/>
    <s v="Nov"/>
    <s v="Low"/>
    <s v="Average"/>
    <n v="-1451.17"/>
    <n v="0.1"/>
    <n v="742.27499999999998"/>
  </r>
  <r>
    <x v="511"/>
    <x v="11"/>
    <x v="1"/>
    <s v="Boots"/>
    <s v="White"/>
    <s v="India"/>
    <s v="Online"/>
    <n v="122.01"/>
    <n v="18"/>
    <n v="2196.1799999999998"/>
    <s v="Nov"/>
    <s v="High"/>
    <s v="Good"/>
    <n v="1371.4299999999998"/>
    <n v="0.1"/>
    <n v="1976.5619999999999"/>
  </r>
  <r>
    <x v="512"/>
    <x v="115"/>
    <x v="3"/>
    <s v="Casual"/>
    <s v="Blue"/>
    <s v="Saudi Arabia"/>
    <s v="Retail Store"/>
    <n v="235.2"/>
    <n v="10"/>
    <n v="2352"/>
    <s v="Sep"/>
    <s v="High"/>
    <s v="Good"/>
    <n v="155.82000000000016"/>
    <n v="0.1"/>
    <n v="2116.8000000000002"/>
  </r>
  <r>
    <x v="513"/>
    <x v="48"/>
    <x v="4"/>
    <s v="Running"/>
    <s v="Red"/>
    <s v="UK"/>
    <s v="Online"/>
    <n v="220.53"/>
    <n v="2"/>
    <n v="441.06"/>
    <s v="Nov"/>
    <s v="Low"/>
    <s v="Low"/>
    <n v="-1910.94"/>
    <n v="0.1"/>
    <n v="396.95400000000001"/>
  </r>
  <r>
    <x v="514"/>
    <x v="200"/>
    <x v="2"/>
    <s v="Boots"/>
    <s v="Red"/>
    <s v="Germany"/>
    <s v="Mall"/>
    <n v="39.950000000000003"/>
    <n v="18"/>
    <n v="719.1"/>
    <s v="Jul"/>
    <s v="Low"/>
    <s v="Average"/>
    <n v="278.04000000000002"/>
    <n v="0.1"/>
    <n v="647.19000000000005"/>
  </r>
  <r>
    <x v="515"/>
    <x v="116"/>
    <x v="1"/>
    <s v="Formal"/>
    <s v="Red"/>
    <s v="UK"/>
    <s v="Online"/>
    <n v="35.799999999999997"/>
    <n v="14"/>
    <n v="501.2"/>
    <s v="Sep"/>
    <s v="Low"/>
    <s v="Average"/>
    <n v="-217.90000000000003"/>
    <n v="0.1"/>
    <n v="451.08"/>
  </r>
  <r>
    <x v="516"/>
    <x v="175"/>
    <x v="3"/>
    <s v="Sports"/>
    <s v="Black"/>
    <s v="France"/>
    <s v="Online"/>
    <n v="112.82"/>
    <n v="1"/>
    <n v="112.82"/>
    <s v="Oct"/>
    <s v="Low"/>
    <s v="Low"/>
    <n v="-388.38"/>
    <n v="0.1"/>
    <n v="101.538"/>
  </r>
  <r>
    <x v="517"/>
    <x v="71"/>
    <x v="3"/>
    <s v="Formal"/>
    <s v="Grey"/>
    <s v="UAE"/>
    <s v="Retail Store"/>
    <n v="208.32"/>
    <n v="10"/>
    <n v="2083.1999999999998"/>
    <s v="Oct"/>
    <s v="High"/>
    <s v="Good"/>
    <n v="1970.3799999999999"/>
    <n v="0.1"/>
    <n v="1874.8799999999999"/>
  </r>
  <r>
    <x v="518"/>
    <x v="238"/>
    <x v="0"/>
    <s v="Sneakers"/>
    <s v="Black"/>
    <s v="France"/>
    <s v="Mall"/>
    <n v="247.2"/>
    <n v="17"/>
    <n v="4202.3999999999996"/>
    <s v="Oct"/>
    <s v="High"/>
    <s v="Excellent"/>
    <n v="2119.1999999999998"/>
    <n v="0.1"/>
    <n v="3782.16"/>
  </r>
  <r>
    <x v="519"/>
    <x v="237"/>
    <x v="0"/>
    <s v="Boots"/>
    <s v="Red"/>
    <s v="India"/>
    <s v="Online"/>
    <n v="63.09"/>
    <n v="18"/>
    <n v="1135.6199999999999"/>
    <s v="Jul"/>
    <s v="Low"/>
    <s v="Average"/>
    <n v="-3066.7799999999997"/>
    <n v="0.1"/>
    <n v="1022.0579999999999"/>
  </r>
  <r>
    <x v="520"/>
    <x v="284"/>
    <x v="1"/>
    <s v="Boots"/>
    <s v="White"/>
    <s v="France"/>
    <s v="Online"/>
    <n v="160.71"/>
    <n v="4"/>
    <n v="642.84"/>
    <s v="Aug"/>
    <s v="Low"/>
    <s v="Average"/>
    <n v="-492.77999999999986"/>
    <n v="0.1"/>
    <n v="578.55600000000004"/>
  </r>
  <r>
    <x v="521"/>
    <x v="230"/>
    <x v="4"/>
    <s v="Running"/>
    <s v="Red"/>
    <s v="Saudi Arabia"/>
    <s v="Online"/>
    <n v="113.8"/>
    <n v="9"/>
    <n v="1024.2"/>
    <s v="Aug"/>
    <s v="Low"/>
    <s v="Average"/>
    <n v="381.36"/>
    <n v="0.1"/>
    <n v="921.78000000000009"/>
  </r>
  <r>
    <x v="522"/>
    <x v="261"/>
    <x v="1"/>
    <s v="Sneakers"/>
    <s v="Green"/>
    <s v="France"/>
    <s v="Mall"/>
    <n v="243.38"/>
    <n v="7"/>
    <n v="1703.66"/>
    <s v="May"/>
    <s v="Low"/>
    <s v="Good"/>
    <n v="679.46"/>
    <n v="0.1"/>
    <n v="1533.2940000000001"/>
  </r>
  <r>
    <x v="523"/>
    <x v="81"/>
    <x v="3"/>
    <s v="Sneakers"/>
    <s v="White"/>
    <s v="Saudi Arabia"/>
    <s v="Online"/>
    <n v="215.27"/>
    <n v="14"/>
    <n v="3013.78"/>
    <s v="Nov"/>
    <s v="High"/>
    <s v="Excellent"/>
    <n v="1310.1200000000001"/>
    <n v="0.1"/>
    <n v="2712.402"/>
  </r>
  <r>
    <x v="524"/>
    <x v="256"/>
    <x v="2"/>
    <s v="Sports"/>
    <s v="Grey"/>
    <s v="France"/>
    <s v="Mall"/>
    <n v="214.43"/>
    <n v="2"/>
    <n v="428.86"/>
    <s v="Apr"/>
    <s v="Low"/>
    <s v="Low"/>
    <n v="-2584.92"/>
    <n v="0.1"/>
    <n v="385.97400000000005"/>
  </r>
  <r>
    <x v="525"/>
    <x v="71"/>
    <x v="4"/>
    <s v="Boots"/>
    <s v="Blue"/>
    <s v="France"/>
    <s v="Mall"/>
    <n v="133.11000000000001"/>
    <n v="6"/>
    <n v="798.66"/>
    <s v="Oct"/>
    <s v="Low"/>
    <s v="Average"/>
    <n v="369.79999999999995"/>
    <n v="0.1"/>
    <n v="718.79399999999998"/>
  </r>
  <r>
    <x v="526"/>
    <x v="12"/>
    <x v="1"/>
    <s v="Running"/>
    <s v="White"/>
    <s v="Saudi Arabia"/>
    <s v="Retail Store"/>
    <n v="121.26"/>
    <n v="17"/>
    <n v="2061.42"/>
    <s v="May"/>
    <s v="High"/>
    <s v="Good"/>
    <n v="1262.7600000000002"/>
    <n v="0.1"/>
    <n v="1855.278"/>
  </r>
  <r>
    <x v="527"/>
    <x v="41"/>
    <x v="1"/>
    <s v="Casual"/>
    <s v="Green"/>
    <s v="Saudi Arabia"/>
    <s v="Online"/>
    <n v="90.15"/>
    <n v="9"/>
    <n v="811.35"/>
    <s v="Jan"/>
    <s v="Low"/>
    <s v="Average"/>
    <n v="-1250.0700000000002"/>
    <n v="0.1"/>
    <n v="730.21500000000003"/>
  </r>
  <r>
    <x v="528"/>
    <x v="37"/>
    <x v="1"/>
    <s v="Sports"/>
    <s v="White"/>
    <s v="Saudi Arabia"/>
    <s v="Mall"/>
    <n v="42.4"/>
    <n v="5"/>
    <n v="212"/>
    <s v="May"/>
    <s v="Low"/>
    <s v="Low"/>
    <n v="-599.35"/>
    <n v="0.1"/>
    <n v="190.8"/>
  </r>
  <r>
    <x v="529"/>
    <x v="285"/>
    <x v="3"/>
    <s v="Sneakers"/>
    <s v="Green"/>
    <s v="France"/>
    <s v="Mall"/>
    <n v="220.24"/>
    <n v="16"/>
    <n v="3523.84"/>
    <s v="Jul"/>
    <s v="High"/>
    <s v="Excellent"/>
    <n v="3311.84"/>
    <n v="0.1"/>
    <n v="3171.4560000000001"/>
  </r>
  <r>
    <x v="530"/>
    <x v="172"/>
    <x v="5"/>
    <s v="Running"/>
    <s v="Green"/>
    <s v="Saudi Arabia"/>
    <s v="Online"/>
    <n v="208.84"/>
    <n v="13"/>
    <n v="2714.92"/>
    <s v="Aug"/>
    <s v="High"/>
    <s v="Good"/>
    <n v="-808.92000000000007"/>
    <n v="0.1"/>
    <n v="2443.4280000000003"/>
  </r>
  <r>
    <x v="531"/>
    <x v="47"/>
    <x v="1"/>
    <s v="Sports"/>
    <s v="Green"/>
    <s v="France"/>
    <s v="Retail Store"/>
    <n v="249.94"/>
    <n v="17"/>
    <n v="4248.9799999999996"/>
    <s v="Jul"/>
    <s v="High"/>
    <s v="Excellent"/>
    <n v="1534.0599999999995"/>
    <n v="0.1"/>
    <n v="3824.0819999999999"/>
  </r>
  <r>
    <x v="532"/>
    <x v="43"/>
    <x v="2"/>
    <s v="Running"/>
    <s v="Green"/>
    <s v="USA"/>
    <s v="Mall"/>
    <n v="249.26"/>
    <n v="11"/>
    <n v="2741.86"/>
    <s v="Sep"/>
    <s v="High"/>
    <s v="Good"/>
    <n v="-1507.1199999999994"/>
    <n v="0.1"/>
    <n v="2467.674"/>
  </r>
  <r>
    <x v="533"/>
    <x v="286"/>
    <x v="0"/>
    <s v="Sneakers"/>
    <s v="Red"/>
    <s v="UK"/>
    <s v="Retail Store"/>
    <n v="152.19"/>
    <n v="12"/>
    <n v="1826.28"/>
    <s v="Aug"/>
    <s v="Low"/>
    <s v="Good"/>
    <n v="-915.58000000000015"/>
    <n v="0.1"/>
    <n v="1643.652"/>
  </r>
  <r>
    <x v="534"/>
    <x v="99"/>
    <x v="4"/>
    <s v="Sports"/>
    <s v="Blue"/>
    <s v="France"/>
    <s v="Mall"/>
    <n v="199.18"/>
    <n v="16"/>
    <n v="3186.88"/>
    <s v="Apr"/>
    <s v="High"/>
    <s v="Excellent"/>
    <n v="1360.6000000000001"/>
    <n v="0.1"/>
    <n v="2868.192"/>
  </r>
  <r>
    <x v="535"/>
    <x v="9"/>
    <x v="2"/>
    <s v="Formal"/>
    <s v="Blue"/>
    <s v="UAE"/>
    <s v="Online"/>
    <n v="237.85"/>
    <n v="5"/>
    <n v="1189.25"/>
    <s v="Oct"/>
    <s v="Low"/>
    <s v="Average"/>
    <n v="-1997.63"/>
    <n v="0.1"/>
    <n v="1070.325"/>
  </r>
  <r>
    <x v="536"/>
    <x v="152"/>
    <x v="1"/>
    <s v="Formal"/>
    <s v="Black"/>
    <s v="USA"/>
    <s v="Online"/>
    <n v="216.92"/>
    <n v="4"/>
    <n v="867.68"/>
    <s v="Jan"/>
    <s v="Low"/>
    <s v="Average"/>
    <n v="-321.57000000000005"/>
    <n v="0.1"/>
    <n v="780.91199999999992"/>
  </r>
  <r>
    <x v="537"/>
    <x v="89"/>
    <x v="0"/>
    <s v="Formal"/>
    <s v="White"/>
    <s v="UAE"/>
    <s v="Online"/>
    <n v="84.42"/>
    <n v="15"/>
    <n v="1266.3"/>
    <s v="Aug"/>
    <s v="Low"/>
    <s v="Average"/>
    <n v="398.62"/>
    <n v="0.1"/>
    <n v="1139.67"/>
  </r>
  <r>
    <x v="538"/>
    <x v="265"/>
    <x v="3"/>
    <s v="Sports"/>
    <s v="Black"/>
    <s v="UAE"/>
    <s v="Retail Store"/>
    <n v="129.12"/>
    <n v="10"/>
    <n v="1291.2"/>
    <s v="Nov"/>
    <s v="Low"/>
    <s v="Average"/>
    <n v="24.900000000000091"/>
    <n v="0.1"/>
    <n v="1162.0800000000002"/>
  </r>
  <r>
    <x v="539"/>
    <x v="56"/>
    <x v="4"/>
    <s v="Boots"/>
    <s v="Green"/>
    <s v="UK"/>
    <s v="Online"/>
    <n v="58.42"/>
    <n v="3"/>
    <n v="175.26"/>
    <s v="May"/>
    <s v="Low"/>
    <s v="Low"/>
    <n v="-1115.94"/>
    <n v="0.1"/>
    <n v="157.73400000000001"/>
  </r>
  <r>
    <x v="540"/>
    <x v="159"/>
    <x v="1"/>
    <s v="Boots"/>
    <s v="White"/>
    <s v="Germany"/>
    <s v="Mall"/>
    <n v="239.89"/>
    <n v="10"/>
    <n v="2398.9"/>
    <s v="Jul"/>
    <s v="High"/>
    <s v="Good"/>
    <n v="2223.6400000000003"/>
    <n v="0.1"/>
    <n v="2159.0100000000002"/>
  </r>
  <r>
    <x v="541"/>
    <x v="161"/>
    <x v="0"/>
    <s v="Casual"/>
    <s v="Red"/>
    <s v="USA"/>
    <s v="Online"/>
    <n v="163.36000000000001"/>
    <n v="4"/>
    <n v="653.44000000000005"/>
    <s v="Feb"/>
    <s v="Low"/>
    <s v="Average"/>
    <n v="-1745.46"/>
    <n v="0.1"/>
    <n v="588.09600000000012"/>
  </r>
  <r>
    <x v="542"/>
    <x v="97"/>
    <x v="2"/>
    <s v="Boots"/>
    <s v="Red"/>
    <s v="USA"/>
    <s v="Online"/>
    <n v="80.3"/>
    <n v="8"/>
    <n v="642.4"/>
    <s v="Oct"/>
    <s v="Low"/>
    <s v="Average"/>
    <n v="-11.040000000000077"/>
    <n v="0.1"/>
    <n v="578.16"/>
  </r>
  <r>
    <x v="543"/>
    <x v="82"/>
    <x v="0"/>
    <s v="Formal"/>
    <s v="Green"/>
    <s v="UK"/>
    <s v="Retail Store"/>
    <n v="177.77"/>
    <n v="11"/>
    <n v="1955.47"/>
    <s v="Dec"/>
    <s v="Low"/>
    <s v="Good"/>
    <n v="1313.0700000000002"/>
    <n v="0.1"/>
    <n v="1759.923"/>
  </r>
  <r>
    <x v="544"/>
    <x v="287"/>
    <x v="5"/>
    <s v="Running"/>
    <s v="Green"/>
    <s v="Saudi Arabia"/>
    <s v="Online"/>
    <n v="165.99"/>
    <n v="8"/>
    <n v="1327.92"/>
    <s v="Feb"/>
    <s v="Low"/>
    <s v="Average"/>
    <n v="-627.54999999999995"/>
    <n v="0.1"/>
    <n v="1195.1280000000002"/>
  </r>
  <r>
    <x v="545"/>
    <x v="6"/>
    <x v="4"/>
    <s v="Sports"/>
    <s v="White"/>
    <s v="Germany"/>
    <s v="Online"/>
    <n v="108.8"/>
    <n v="11"/>
    <n v="1196.8"/>
    <s v="Feb"/>
    <s v="Low"/>
    <s v="Average"/>
    <n v="-131.12000000000012"/>
    <n v="0.1"/>
    <n v="1077.1199999999999"/>
  </r>
  <r>
    <x v="546"/>
    <x v="174"/>
    <x v="0"/>
    <s v="Sneakers"/>
    <s v="Grey"/>
    <s v="USA"/>
    <s v="Mall"/>
    <n v="54.98"/>
    <n v="5"/>
    <n v="274.89999999999998"/>
    <s v="Nov"/>
    <s v="Low"/>
    <s v="Low"/>
    <n v="-921.9"/>
    <n v="0.1"/>
    <n v="247.41"/>
  </r>
  <r>
    <x v="547"/>
    <x v="265"/>
    <x v="5"/>
    <s v="Sports"/>
    <s v="Green"/>
    <s v="UK"/>
    <s v="Mall"/>
    <n v="177.75"/>
    <n v="6"/>
    <n v="1066.5"/>
    <s v="Nov"/>
    <s v="Low"/>
    <s v="Average"/>
    <n v="791.6"/>
    <n v="0.1"/>
    <n v="959.85"/>
  </r>
  <r>
    <x v="548"/>
    <x v="243"/>
    <x v="2"/>
    <s v="Boots"/>
    <s v="Red"/>
    <s v="Saudi Arabia"/>
    <s v="Online"/>
    <n v="144.47"/>
    <n v="14"/>
    <n v="2022.58"/>
    <s v="Mar"/>
    <s v="High"/>
    <s v="Good"/>
    <n v="956.07999999999993"/>
    <n v="0.1"/>
    <n v="1820.3219999999999"/>
  </r>
  <r>
    <x v="549"/>
    <x v="288"/>
    <x v="3"/>
    <s v="Running"/>
    <s v="Grey"/>
    <s v="UAE"/>
    <s v="Retail Store"/>
    <n v="199.91"/>
    <n v="4"/>
    <n v="799.64"/>
    <s v="Feb"/>
    <s v="Low"/>
    <s v="Average"/>
    <n v="-1222.94"/>
    <n v="0.1"/>
    <n v="719.67600000000004"/>
  </r>
  <r>
    <x v="550"/>
    <x v="101"/>
    <x v="4"/>
    <s v="Casual"/>
    <s v="White"/>
    <s v="France"/>
    <s v="Mall"/>
    <n v="144.44"/>
    <n v="14"/>
    <n v="2022.16"/>
    <s v="Jun"/>
    <s v="High"/>
    <s v="Good"/>
    <n v="1222.52"/>
    <n v="0.1"/>
    <n v="1819.9440000000002"/>
  </r>
  <r>
    <x v="551"/>
    <x v="275"/>
    <x v="2"/>
    <s v="Sneakers"/>
    <s v="Grey"/>
    <s v="UAE"/>
    <s v="Mall"/>
    <n v="217.48"/>
    <n v="8"/>
    <n v="1739.84"/>
    <s v="Feb"/>
    <s v="Low"/>
    <s v="Good"/>
    <n v="-282.32000000000016"/>
    <n v="0.1"/>
    <n v="1565.856"/>
  </r>
  <r>
    <x v="552"/>
    <x v="289"/>
    <x v="1"/>
    <s v="Sports"/>
    <s v="White"/>
    <s v="India"/>
    <s v="Mall"/>
    <n v="151.41999999999999"/>
    <n v="1"/>
    <n v="151.41999999999999"/>
    <s v="May"/>
    <s v="Low"/>
    <s v="Low"/>
    <n v="-1588.4199999999998"/>
    <n v="0.1"/>
    <n v="136.27799999999999"/>
  </r>
  <r>
    <x v="553"/>
    <x v="290"/>
    <x v="1"/>
    <s v="Formal"/>
    <s v="Blue"/>
    <s v="UAE"/>
    <s v="Online"/>
    <n v="153.41"/>
    <n v="7"/>
    <n v="1073.8699999999999"/>
    <s v="Sep"/>
    <s v="Low"/>
    <s v="Average"/>
    <n v="922.44999999999993"/>
    <n v="0.1"/>
    <n v="966.48299999999995"/>
  </r>
  <r>
    <x v="554"/>
    <x v="219"/>
    <x v="5"/>
    <s v="Running"/>
    <s v="White"/>
    <s v="Germany"/>
    <s v="Mall"/>
    <n v="222.86"/>
    <n v="16"/>
    <n v="3565.76"/>
    <s v="May"/>
    <s v="High"/>
    <s v="Excellent"/>
    <n v="2491.8900000000003"/>
    <n v="0.1"/>
    <n v="3209.1840000000002"/>
  </r>
  <r>
    <x v="555"/>
    <x v="133"/>
    <x v="2"/>
    <s v="Running"/>
    <s v="Blue"/>
    <s v="France"/>
    <s v="Online"/>
    <n v="118.77"/>
    <n v="3"/>
    <n v="356.31"/>
    <s v="Nov"/>
    <s v="Low"/>
    <s v="Low"/>
    <n v="-3209.4500000000003"/>
    <n v="0.1"/>
    <n v="320.67900000000003"/>
  </r>
  <r>
    <x v="556"/>
    <x v="205"/>
    <x v="5"/>
    <s v="Sports"/>
    <s v="Grey"/>
    <s v="UAE"/>
    <s v="Online"/>
    <n v="59.48"/>
    <n v="19"/>
    <n v="1130.1199999999999"/>
    <s v="Jul"/>
    <s v="Low"/>
    <s v="Average"/>
    <n v="773.81"/>
    <n v="0.1"/>
    <n v="1017.1079999999999"/>
  </r>
  <r>
    <x v="557"/>
    <x v="145"/>
    <x v="0"/>
    <s v="Sneakers"/>
    <s v="Black"/>
    <s v="USA"/>
    <s v="Retail Store"/>
    <n v="36.33"/>
    <n v="3"/>
    <n v="108.99"/>
    <s v="Aug"/>
    <s v="Low"/>
    <s v="Low"/>
    <n v="-1021.1299999999999"/>
    <n v="0.1"/>
    <n v="98.090999999999994"/>
  </r>
  <r>
    <x v="558"/>
    <x v="235"/>
    <x v="0"/>
    <s v="Formal"/>
    <s v="Grey"/>
    <s v="France"/>
    <s v="Mall"/>
    <n v="196.13"/>
    <n v="2"/>
    <n v="392.26"/>
    <s v="Apr"/>
    <s v="Low"/>
    <s v="Low"/>
    <n v="283.27"/>
    <n v="0.1"/>
    <n v="353.03399999999999"/>
  </r>
  <r>
    <x v="559"/>
    <x v="229"/>
    <x v="5"/>
    <s v="Formal"/>
    <s v="Green"/>
    <s v="Germany"/>
    <s v="Online"/>
    <n v="166.47"/>
    <n v="17"/>
    <n v="2829.99"/>
    <s v="Dec"/>
    <s v="High"/>
    <s v="Good"/>
    <n v="2437.7299999999996"/>
    <n v="0.1"/>
    <n v="2546.991"/>
  </r>
  <r>
    <x v="560"/>
    <x v="0"/>
    <x v="2"/>
    <s v="Sneakers"/>
    <s v="White"/>
    <s v="France"/>
    <s v="Online"/>
    <n v="184.9"/>
    <n v="18"/>
    <n v="3328.2"/>
    <s v="Nov"/>
    <s v="High"/>
    <s v="Excellent"/>
    <n v="498.21000000000004"/>
    <n v="0.1"/>
    <n v="2995.38"/>
  </r>
  <r>
    <x v="561"/>
    <x v="73"/>
    <x v="2"/>
    <s v="Casual"/>
    <s v="White"/>
    <s v="India"/>
    <s v="Retail Store"/>
    <n v="76.849999999999994"/>
    <n v="3"/>
    <n v="230.55"/>
    <s v="Jun"/>
    <s v="Low"/>
    <s v="Low"/>
    <n v="-3097.6499999999996"/>
    <n v="0.1"/>
    <n v="207.495"/>
  </r>
  <r>
    <x v="562"/>
    <x v="291"/>
    <x v="1"/>
    <s v="Boots"/>
    <s v="Green"/>
    <s v="UAE"/>
    <s v="Online"/>
    <n v="60"/>
    <n v="19"/>
    <n v="1140"/>
    <s v="Jul"/>
    <s v="Low"/>
    <s v="Average"/>
    <n v="909.45"/>
    <n v="0.1"/>
    <n v="1026"/>
  </r>
  <r>
    <x v="563"/>
    <x v="73"/>
    <x v="1"/>
    <s v="Casual"/>
    <s v="Black"/>
    <s v="UK"/>
    <s v="Online"/>
    <n v="33.200000000000003"/>
    <n v="14"/>
    <n v="464.8"/>
    <s v="Jun"/>
    <s v="Low"/>
    <s v="Low"/>
    <n v="-675.2"/>
    <n v="0.1"/>
    <n v="418.32"/>
  </r>
  <r>
    <x v="564"/>
    <x v="292"/>
    <x v="5"/>
    <s v="Sneakers"/>
    <s v="Grey"/>
    <s v="USA"/>
    <s v="Retail Store"/>
    <n v="107.13"/>
    <n v="4"/>
    <n v="428.52"/>
    <s v="Aug"/>
    <s v="Low"/>
    <s v="Low"/>
    <n v="-36.28000000000003"/>
    <n v="0.1"/>
    <n v="385.66800000000001"/>
  </r>
  <r>
    <x v="565"/>
    <x v="192"/>
    <x v="0"/>
    <s v="Running"/>
    <s v="Green"/>
    <s v="UK"/>
    <s v="Mall"/>
    <n v="159.78"/>
    <n v="6"/>
    <n v="958.68"/>
    <s v="Dec"/>
    <s v="Low"/>
    <s v="Average"/>
    <n v="530.16"/>
    <n v="0.1"/>
    <n v="862.81200000000001"/>
  </r>
  <r>
    <x v="566"/>
    <x v="114"/>
    <x v="5"/>
    <s v="Sports"/>
    <s v="Grey"/>
    <s v="India"/>
    <s v="Mall"/>
    <n v="116.29"/>
    <n v="6"/>
    <n v="697.74"/>
    <s v="Jan"/>
    <s v="Low"/>
    <s v="Average"/>
    <n v="-260.93999999999994"/>
    <n v="0.1"/>
    <n v="627.96600000000001"/>
  </r>
  <r>
    <x v="567"/>
    <x v="113"/>
    <x v="4"/>
    <s v="Casual"/>
    <s v="Green"/>
    <s v="Saudi Arabia"/>
    <s v="Retail Store"/>
    <n v="126.24"/>
    <n v="6"/>
    <n v="757.44"/>
    <s v="May"/>
    <s v="Low"/>
    <s v="Average"/>
    <n v="59.700000000000045"/>
    <n v="0.1"/>
    <n v="681.69600000000003"/>
  </r>
  <r>
    <x v="568"/>
    <x v="293"/>
    <x v="4"/>
    <s v="Formal"/>
    <s v="Blue"/>
    <s v="India"/>
    <s v="Online"/>
    <n v="228.91"/>
    <n v="1"/>
    <n v="228.91"/>
    <s v="Mar"/>
    <s v="Low"/>
    <s v="Low"/>
    <n v="-528.53000000000009"/>
    <n v="0.1"/>
    <n v="206.01900000000001"/>
  </r>
  <r>
    <x v="569"/>
    <x v="17"/>
    <x v="1"/>
    <s v="Running"/>
    <s v="Red"/>
    <s v="Germany"/>
    <s v="Mall"/>
    <n v="106.62"/>
    <n v="19"/>
    <n v="2025.78"/>
    <s v="May"/>
    <s v="High"/>
    <s v="Good"/>
    <n v="1796.87"/>
    <n v="0.1"/>
    <n v="1823.202"/>
  </r>
  <r>
    <x v="570"/>
    <x v="280"/>
    <x v="5"/>
    <s v="Sneakers"/>
    <s v="White"/>
    <s v="France"/>
    <s v="Online"/>
    <n v="143.08000000000001"/>
    <n v="2"/>
    <n v="286.16000000000003"/>
    <s v="Jul"/>
    <s v="Low"/>
    <s v="Low"/>
    <n v="-1739.62"/>
    <n v="0.1"/>
    <n v="257.54400000000004"/>
  </r>
  <r>
    <x v="571"/>
    <x v="156"/>
    <x v="2"/>
    <s v="Boots"/>
    <s v="Green"/>
    <s v="USA"/>
    <s v="Online"/>
    <n v="202.4"/>
    <n v="4"/>
    <n v="809.6"/>
    <s v="May"/>
    <s v="Low"/>
    <s v="Average"/>
    <n v="523.44000000000005"/>
    <n v="0.1"/>
    <n v="728.64"/>
  </r>
  <r>
    <x v="572"/>
    <x v="290"/>
    <x v="0"/>
    <s v="Running"/>
    <s v="White"/>
    <s v="USA"/>
    <s v="Retail Store"/>
    <n v="117.24"/>
    <n v="1"/>
    <n v="117.24"/>
    <s v="Sep"/>
    <s v="Low"/>
    <s v="Low"/>
    <n v="-692.36"/>
    <n v="0.1"/>
    <n v="105.51599999999999"/>
  </r>
  <r>
    <x v="573"/>
    <x v="213"/>
    <x v="3"/>
    <s v="Casual"/>
    <s v="Black"/>
    <s v="India"/>
    <s v="Mall"/>
    <n v="166.86"/>
    <n v="13"/>
    <n v="2169.1799999999998"/>
    <s v="Jul"/>
    <s v="High"/>
    <s v="Good"/>
    <n v="2051.94"/>
    <n v="0.1"/>
    <n v="1952.2619999999999"/>
  </r>
  <r>
    <x v="574"/>
    <x v="208"/>
    <x v="3"/>
    <s v="Sports"/>
    <s v="White"/>
    <s v="Germany"/>
    <s v="Mall"/>
    <n v="219.72"/>
    <n v="14"/>
    <n v="3076.08"/>
    <s v="Dec"/>
    <s v="High"/>
    <s v="Excellent"/>
    <n v="906.90000000000009"/>
    <n v="0.1"/>
    <n v="2768.4720000000002"/>
  </r>
  <r>
    <x v="575"/>
    <x v="90"/>
    <x v="0"/>
    <s v="Sneakers"/>
    <s v="Blue"/>
    <s v="USA"/>
    <s v="Mall"/>
    <n v="238.89"/>
    <n v="9"/>
    <n v="2150.0100000000002"/>
    <s v="Jun"/>
    <s v="High"/>
    <s v="Good"/>
    <n v="-926.06999999999971"/>
    <n v="0.1"/>
    <n v="1935.0090000000002"/>
  </r>
  <r>
    <x v="576"/>
    <x v="264"/>
    <x v="3"/>
    <s v="Casual"/>
    <s v="Grey"/>
    <s v="USA"/>
    <s v="Retail Store"/>
    <n v="62.36"/>
    <n v="2"/>
    <n v="124.72"/>
    <s v="Dec"/>
    <s v="Low"/>
    <s v="Low"/>
    <n v="-2025.2900000000002"/>
    <n v="0.1"/>
    <n v="112.248"/>
  </r>
  <r>
    <x v="577"/>
    <x v="51"/>
    <x v="4"/>
    <s v="Sports"/>
    <s v="Blue"/>
    <s v="USA"/>
    <s v="Mall"/>
    <n v="233.85"/>
    <n v="15"/>
    <n v="3507.75"/>
    <s v="Feb"/>
    <s v="High"/>
    <s v="Excellent"/>
    <n v="3383.03"/>
    <n v="0.1"/>
    <n v="3156.9749999999999"/>
  </r>
  <r>
    <x v="578"/>
    <x v="85"/>
    <x v="4"/>
    <s v="Casual"/>
    <s v="Blue"/>
    <s v="India"/>
    <s v="Retail Store"/>
    <n v="138.27000000000001"/>
    <n v="1"/>
    <n v="138.27000000000001"/>
    <s v="Aug"/>
    <s v="Low"/>
    <s v="Low"/>
    <n v="-3369.48"/>
    <n v="0.1"/>
    <n v="124.44300000000001"/>
  </r>
  <r>
    <x v="579"/>
    <x v="294"/>
    <x v="5"/>
    <s v="Sports"/>
    <s v="Grey"/>
    <s v="Germany"/>
    <s v="Online"/>
    <n v="86.81"/>
    <n v="8"/>
    <n v="694.48"/>
    <s v="Nov"/>
    <s v="Low"/>
    <s v="Average"/>
    <n v="556.21"/>
    <n v="0.1"/>
    <n v="625.03200000000004"/>
  </r>
  <r>
    <x v="580"/>
    <x v="4"/>
    <x v="3"/>
    <s v="Running"/>
    <s v="Red"/>
    <s v="USA"/>
    <s v="Online"/>
    <n v="131.01"/>
    <n v="8"/>
    <n v="1048.08"/>
    <s v="Oct"/>
    <s v="Low"/>
    <s v="Average"/>
    <n v="353.59999999999991"/>
    <n v="0.1"/>
    <n v="943.27199999999993"/>
  </r>
  <r>
    <x v="581"/>
    <x v="44"/>
    <x v="1"/>
    <s v="Boots"/>
    <s v="Black"/>
    <s v="France"/>
    <s v="Online"/>
    <n v="245.61"/>
    <n v="12"/>
    <n v="2947.32"/>
    <s v="Oct"/>
    <s v="High"/>
    <s v="Good"/>
    <n v="1899.2400000000002"/>
    <n v="0.1"/>
    <n v="2652.5880000000002"/>
  </r>
  <r>
    <x v="582"/>
    <x v="139"/>
    <x v="1"/>
    <s v="Boots"/>
    <s v="Blue"/>
    <s v="USA"/>
    <s v="Online"/>
    <n v="138.38"/>
    <n v="13"/>
    <n v="1798.94"/>
    <s v="Dec"/>
    <s v="Low"/>
    <s v="Good"/>
    <n v="-1148.3800000000001"/>
    <n v="0.1"/>
    <n v="1619.046"/>
  </r>
  <r>
    <x v="583"/>
    <x v="189"/>
    <x v="5"/>
    <s v="Formal"/>
    <s v="Black"/>
    <s v="UK"/>
    <s v="Mall"/>
    <n v="102.33"/>
    <n v="8"/>
    <n v="818.64"/>
    <s v="Sep"/>
    <s v="Low"/>
    <s v="Average"/>
    <n v="-980.30000000000007"/>
    <n v="0.1"/>
    <n v="736.77599999999995"/>
  </r>
  <r>
    <x v="584"/>
    <x v="270"/>
    <x v="0"/>
    <s v="Casual"/>
    <s v="Grey"/>
    <s v="Germany"/>
    <s v="Mall"/>
    <n v="169.35"/>
    <n v="3"/>
    <n v="508.05"/>
    <s v="May"/>
    <s v="Low"/>
    <s v="Average"/>
    <n v="-310.58999999999997"/>
    <n v="0.1"/>
    <n v="457.245"/>
  </r>
  <r>
    <x v="585"/>
    <x v="295"/>
    <x v="1"/>
    <s v="Running"/>
    <s v="Grey"/>
    <s v="USA"/>
    <s v="Mall"/>
    <n v="82.83"/>
    <n v="15"/>
    <n v="1242.45"/>
    <s v="Jul"/>
    <s v="Low"/>
    <s v="Average"/>
    <n v="734.40000000000009"/>
    <n v="0.1"/>
    <n v="1118.2050000000002"/>
  </r>
  <r>
    <x v="586"/>
    <x v="296"/>
    <x v="0"/>
    <s v="Sneakers"/>
    <s v="Grey"/>
    <s v="USA"/>
    <s v="Retail Store"/>
    <n v="46.69"/>
    <n v="13"/>
    <n v="606.97"/>
    <s v="Mar"/>
    <s v="Low"/>
    <s v="Average"/>
    <n v="-635.48"/>
    <n v="0.1"/>
    <n v="546.27300000000002"/>
  </r>
  <r>
    <x v="587"/>
    <x v="297"/>
    <x v="3"/>
    <s v="Sports"/>
    <s v="Blue"/>
    <s v="Saudi Arabia"/>
    <s v="Retail Store"/>
    <n v="58.35"/>
    <n v="5"/>
    <n v="291.75"/>
    <s v="Dec"/>
    <s v="Low"/>
    <s v="Low"/>
    <n v="-315.22000000000003"/>
    <n v="0.1"/>
    <n v="262.57499999999999"/>
  </r>
  <r>
    <x v="588"/>
    <x v="285"/>
    <x v="4"/>
    <s v="Formal"/>
    <s v="Blue"/>
    <s v="UK"/>
    <s v="Online"/>
    <n v="58.17"/>
    <n v="11"/>
    <n v="639.87"/>
    <s v="Jul"/>
    <s v="Low"/>
    <s v="Average"/>
    <n v="348.12"/>
    <n v="0.1"/>
    <n v="575.88300000000004"/>
  </r>
  <r>
    <x v="589"/>
    <x v="298"/>
    <x v="2"/>
    <s v="Running"/>
    <s v="White"/>
    <s v="USA"/>
    <s v="Online"/>
    <n v="63.42"/>
    <n v="5"/>
    <n v="317.10000000000002"/>
    <s v="Apr"/>
    <s v="Low"/>
    <s v="Low"/>
    <n v="-322.77"/>
    <n v="0.1"/>
    <n v="285.39000000000004"/>
  </r>
  <r>
    <x v="590"/>
    <x v="230"/>
    <x v="4"/>
    <s v="Formal"/>
    <s v="Black"/>
    <s v="India"/>
    <s v="Retail Store"/>
    <n v="60.54"/>
    <n v="15"/>
    <n v="908.1"/>
    <s v="Aug"/>
    <s v="Low"/>
    <s v="Average"/>
    <n v="591"/>
    <n v="0.1"/>
    <n v="817.29000000000008"/>
  </r>
  <r>
    <x v="591"/>
    <x v="299"/>
    <x v="4"/>
    <s v="Formal"/>
    <s v="Blue"/>
    <s v="Saudi Arabia"/>
    <s v="Online"/>
    <n v="170.99"/>
    <n v="15"/>
    <n v="2564.85"/>
    <s v="Apr"/>
    <s v="High"/>
    <s v="Good"/>
    <n v="1656.75"/>
    <n v="0.1"/>
    <n v="2308.3649999999998"/>
  </r>
  <r>
    <x v="592"/>
    <x v="161"/>
    <x v="1"/>
    <s v="Sports"/>
    <s v="Green"/>
    <s v="UAE"/>
    <s v="Mall"/>
    <n v="70.010000000000005"/>
    <n v="6"/>
    <n v="420.06"/>
    <s v="Feb"/>
    <s v="Low"/>
    <s v="Low"/>
    <n v="-2144.79"/>
    <n v="0.1"/>
    <n v="378.05400000000003"/>
  </r>
  <r>
    <x v="593"/>
    <x v="300"/>
    <x v="4"/>
    <s v="Casual"/>
    <s v="Black"/>
    <s v="UAE"/>
    <s v="Online"/>
    <n v="106.05"/>
    <n v="7"/>
    <n v="742.35"/>
    <s v="Jan"/>
    <s v="Low"/>
    <s v="Average"/>
    <n v="322.29000000000002"/>
    <n v="0.1"/>
    <n v="668.11500000000001"/>
  </r>
  <r>
    <x v="594"/>
    <x v="273"/>
    <x v="2"/>
    <s v="Running"/>
    <s v="Green"/>
    <s v="France"/>
    <s v="Retail Store"/>
    <n v="227.29"/>
    <n v="13"/>
    <n v="2954.77"/>
    <s v="Jul"/>
    <s v="High"/>
    <s v="Good"/>
    <n v="2212.42"/>
    <n v="0.1"/>
    <n v="2659.2930000000001"/>
  </r>
  <r>
    <x v="595"/>
    <x v="75"/>
    <x v="5"/>
    <s v="Formal"/>
    <s v="Grey"/>
    <s v="UAE"/>
    <s v="Mall"/>
    <n v="134.27000000000001"/>
    <n v="1"/>
    <n v="134.27000000000001"/>
    <s v="Mar"/>
    <s v="Low"/>
    <s v="Low"/>
    <n v="-2820.5"/>
    <n v="0.1"/>
    <n v="120.84300000000002"/>
  </r>
  <r>
    <x v="596"/>
    <x v="37"/>
    <x v="5"/>
    <s v="Running"/>
    <s v="White"/>
    <s v="USA"/>
    <s v="Online"/>
    <n v="176.86"/>
    <n v="4"/>
    <n v="707.44"/>
    <s v="May"/>
    <s v="Low"/>
    <s v="Average"/>
    <n v="573.17000000000007"/>
    <n v="0.1"/>
    <n v="636.69600000000003"/>
  </r>
  <r>
    <x v="597"/>
    <x v="202"/>
    <x v="3"/>
    <s v="Casual"/>
    <s v="Red"/>
    <s v="France"/>
    <s v="Mall"/>
    <n v="67.91"/>
    <n v="8"/>
    <n v="543.28"/>
    <s v="Feb"/>
    <s v="Low"/>
    <s v="Average"/>
    <n v="-164.16000000000008"/>
    <n v="0.1"/>
    <n v="488.952"/>
  </r>
  <r>
    <x v="598"/>
    <x v="301"/>
    <x v="2"/>
    <s v="Sneakers"/>
    <s v="Blue"/>
    <s v="Saudi Arabia"/>
    <s v="Online"/>
    <n v="72.3"/>
    <n v="3"/>
    <n v="216.9"/>
    <s v="Nov"/>
    <s v="Low"/>
    <s v="Low"/>
    <n v="-326.38"/>
    <n v="0.1"/>
    <n v="195.21"/>
  </r>
  <r>
    <x v="599"/>
    <x v="302"/>
    <x v="3"/>
    <s v="Boots"/>
    <s v="Red"/>
    <s v="Saudi Arabia"/>
    <s v="Online"/>
    <n v="38.99"/>
    <n v="3"/>
    <n v="116.97"/>
    <s v="Jan"/>
    <s v="Low"/>
    <s v="Low"/>
    <n v="-99.93"/>
    <n v="0.1"/>
    <n v="105.273"/>
  </r>
  <r>
    <x v="600"/>
    <x v="143"/>
    <x v="0"/>
    <s v="Running"/>
    <s v="Red"/>
    <s v="USA"/>
    <s v="Online"/>
    <n v="67.17"/>
    <n v="11"/>
    <n v="738.87"/>
    <s v="Feb"/>
    <s v="Low"/>
    <s v="Average"/>
    <n v="621.9"/>
    <n v="0.1"/>
    <n v="664.98300000000006"/>
  </r>
  <r>
    <x v="601"/>
    <x v="125"/>
    <x v="1"/>
    <s v="Formal"/>
    <s v="Red"/>
    <s v="USA"/>
    <s v="Retail Store"/>
    <n v="91.29"/>
    <n v="14"/>
    <n v="1278.06"/>
    <s v="Oct"/>
    <s v="Low"/>
    <s v="Average"/>
    <n v="539.18999999999994"/>
    <n v="0.1"/>
    <n v="1150.2539999999999"/>
  </r>
  <r>
    <x v="602"/>
    <x v="278"/>
    <x v="3"/>
    <s v="Sports"/>
    <s v="White"/>
    <s v="UK"/>
    <s v="Retail Store"/>
    <n v="68.94"/>
    <n v="14"/>
    <n v="965.16"/>
    <s v="Dec"/>
    <s v="Low"/>
    <s v="Average"/>
    <n v="-312.89999999999998"/>
    <n v="0.1"/>
    <n v="868.64400000000001"/>
  </r>
  <r>
    <x v="603"/>
    <x v="270"/>
    <x v="3"/>
    <s v="Running"/>
    <s v="Grey"/>
    <s v="India"/>
    <s v="Mall"/>
    <n v="49.51"/>
    <n v="15"/>
    <n v="742.65"/>
    <s v="May"/>
    <s v="Low"/>
    <s v="Average"/>
    <n v="-222.51"/>
    <n v="0.1"/>
    <n v="668.38499999999999"/>
  </r>
  <r>
    <x v="604"/>
    <x v="13"/>
    <x v="5"/>
    <s v="Formal"/>
    <s v="Grey"/>
    <s v="Germany"/>
    <s v="Online"/>
    <n v="56.54"/>
    <n v="10"/>
    <n v="565.4"/>
    <s v="May"/>
    <s v="Low"/>
    <s v="Average"/>
    <n v="-177.25"/>
    <n v="0.1"/>
    <n v="508.86"/>
  </r>
  <r>
    <x v="605"/>
    <x v="288"/>
    <x v="5"/>
    <s v="Casual"/>
    <s v="Red"/>
    <s v="UK"/>
    <s v="Mall"/>
    <n v="131.37"/>
    <n v="9"/>
    <n v="1182.33"/>
    <s v="Feb"/>
    <s v="Low"/>
    <s v="Average"/>
    <n v="616.92999999999995"/>
    <n v="0.1"/>
    <n v="1064.097"/>
  </r>
  <r>
    <x v="606"/>
    <x v="255"/>
    <x v="1"/>
    <s v="Sneakers"/>
    <s v="Black"/>
    <s v="Germany"/>
    <s v="Mall"/>
    <n v="75.39"/>
    <n v="8"/>
    <n v="603.12"/>
    <s v="Sep"/>
    <s v="Low"/>
    <s v="Average"/>
    <n v="-579.20999999999992"/>
    <n v="0.1"/>
    <n v="542.80799999999999"/>
  </r>
  <r>
    <x v="607"/>
    <x v="61"/>
    <x v="2"/>
    <s v="Formal"/>
    <s v="Blue"/>
    <s v="India"/>
    <s v="Mall"/>
    <n v="110.14"/>
    <n v="16"/>
    <n v="1762.24"/>
    <s v="Jul"/>
    <s v="Low"/>
    <s v="Good"/>
    <n v="1159.1199999999999"/>
    <n v="0.1"/>
    <n v="1586.0160000000001"/>
  </r>
  <r>
    <x v="608"/>
    <x v="77"/>
    <x v="4"/>
    <s v="Casual"/>
    <s v="Black"/>
    <s v="France"/>
    <s v="Mall"/>
    <n v="140.75"/>
    <n v="13"/>
    <n v="1829.75"/>
    <s v="Jun"/>
    <s v="Low"/>
    <s v="Good"/>
    <n v="67.509999999999991"/>
    <n v="0.1"/>
    <n v="1646.7750000000001"/>
  </r>
  <r>
    <x v="609"/>
    <x v="32"/>
    <x v="4"/>
    <s v="Running"/>
    <s v="Red"/>
    <s v="India"/>
    <s v="Retail Store"/>
    <n v="181.89"/>
    <n v="1"/>
    <n v="181.89"/>
    <s v="Apr"/>
    <s v="Low"/>
    <s v="Low"/>
    <n v="-1647.8600000000001"/>
    <n v="0.1"/>
    <n v="163.70099999999999"/>
  </r>
  <r>
    <x v="610"/>
    <x v="303"/>
    <x v="3"/>
    <s v="Running"/>
    <s v="White"/>
    <s v="UAE"/>
    <s v="Online"/>
    <n v="38.65"/>
    <n v="8"/>
    <n v="309.2"/>
    <s v="Oct"/>
    <s v="Low"/>
    <s v="Low"/>
    <n v="127.31"/>
    <n v="0.1"/>
    <n v="278.27999999999997"/>
  </r>
  <r>
    <x v="611"/>
    <x v="12"/>
    <x v="1"/>
    <s v="Running"/>
    <s v="White"/>
    <s v="India"/>
    <s v="Retail Store"/>
    <n v="205.87"/>
    <n v="18"/>
    <n v="3705.66"/>
    <s v="May"/>
    <s v="High"/>
    <s v="Excellent"/>
    <n v="3396.46"/>
    <n v="0.1"/>
    <n v="3335.0940000000001"/>
  </r>
  <r>
    <x v="612"/>
    <x v="304"/>
    <x v="3"/>
    <s v="Casual"/>
    <s v="Grey"/>
    <s v="France"/>
    <s v="Mall"/>
    <n v="168.14"/>
    <n v="6"/>
    <n v="1008.84"/>
    <s v="Jul"/>
    <s v="Low"/>
    <s v="Average"/>
    <n v="-2696.8199999999997"/>
    <n v="0.1"/>
    <n v="907.95600000000002"/>
  </r>
  <r>
    <x v="613"/>
    <x v="124"/>
    <x v="2"/>
    <s v="Running"/>
    <s v="Green"/>
    <s v="UAE"/>
    <s v="Retail Store"/>
    <n v="47.99"/>
    <n v="12"/>
    <n v="575.88"/>
    <s v="Dec"/>
    <s v="Low"/>
    <s v="Average"/>
    <n v="-432.96000000000004"/>
    <n v="0.1"/>
    <n v="518.29200000000003"/>
  </r>
  <r>
    <x v="614"/>
    <x v="305"/>
    <x v="3"/>
    <s v="Sneakers"/>
    <s v="White"/>
    <s v="Saudi Arabia"/>
    <s v="Retail Store"/>
    <n v="222.19"/>
    <n v="19"/>
    <n v="4221.6099999999997"/>
    <s v="Oct"/>
    <s v="High"/>
    <s v="Excellent"/>
    <n v="3645.7299999999996"/>
    <n v="0.1"/>
    <n v="3799.4489999999996"/>
  </r>
  <r>
    <x v="615"/>
    <x v="44"/>
    <x v="3"/>
    <s v="Formal"/>
    <s v="Black"/>
    <s v="USA"/>
    <s v="Online"/>
    <n v="232.59"/>
    <n v="10"/>
    <n v="2325.9"/>
    <s v="Oct"/>
    <s v="High"/>
    <s v="Good"/>
    <n v="-1895.7099999999996"/>
    <n v="0.1"/>
    <n v="2093.31"/>
  </r>
  <r>
    <x v="616"/>
    <x v="167"/>
    <x v="3"/>
    <s v="Running"/>
    <s v="Grey"/>
    <s v="Germany"/>
    <s v="Online"/>
    <n v="43.44"/>
    <n v="20"/>
    <n v="868.8"/>
    <s v="Apr"/>
    <s v="Low"/>
    <s v="Average"/>
    <n v="-1457.1000000000001"/>
    <n v="0.1"/>
    <n v="781.92"/>
  </r>
  <r>
    <x v="617"/>
    <x v="92"/>
    <x v="3"/>
    <s v="Casual"/>
    <s v="Blue"/>
    <s v="UAE"/>
    <s v="Online"/>
    <n v="90.91"/>
    <n v="20"/>
    <n v="1818.2"/>
    <s v="Jun"/>
    <s v="Low"/>
    <s v="Good"/>
    <n v="949.40000000000009"/>
    <n v="0.1"/>
    <n v="1636.38"/>
  </r>
  <r>
    <x v="618"/>
    <x v="198"/>
    <x v="0"/>
    <s v="Casual"/>
    <s v="Grey"/>
    <s v="UAE"/>
    <s v="Online"/>
    <n v="207.36"/>
    <n v="2"/>
    <n v="414.72"/>
    <s v="Jun"/>
    <s v="Low"/>
    <s v="Low"/>
    <n v="-1403.48"/>
    <n v="0.1"/>
    <n v="373.24800000000005"/>
  </r>
  <r>
    <x v="619"/>
    <x v="191"/>
    <x v="4"/>
    <s v="Running"/>
    <s v="Blue"/>
    <s v="UAE"/>
    <s v="Mall"/>
    <n v="194.62"/>
    <n v="17"/>
    <n v="3308.54"/>
    <s v="Feb"/>
    <s v="High"/>
    <s v="Excellent"/>
    <n v="2893.8199999999997"/>
    <n v="0.1"/>
    <n v="2977.6860000000001"/>
  </r>
  <r>
    <x v="620"/>
    <x v="159"/>
    <x v="0"/>
    <s v="Sports"/>
    <s v="Blue"/>
    <s v="France"/>
    <s v="Online"/>
    <n v="70.59"/>
    <n v="19"/>
    <n v="1341.21"/>
    <s v="Jul"/>
    <s v="Low"/>
    <s v="Average"/>
    <n v="-1967.33"/>
    <n v="0.1"/>
    <n v="1207.0890000000002"/>
  </r>
  <r>
    <x v="621"/>
    <x v="129"/>
    <x v="1"/>
    <s v="Formal"/>
    <s v="Green"/>
    <s v="France"/>
    <s v="Online"/>
    <n v="76.06"/>
    <n v="14"/>
    <n v="1064.8399999999999"/>
    <s v="Mar"/>
    <s v="Low"/>
    <s v="Average"/>
    <n v="-276.37000000000012"/>
    <n v="0.1"/>
    <n v="958.35599999999999"/>
  </r>
  <r>
    <x v="622"/>
    <x v="109"/>
    <x v="1"/>
    <s v="Sneakers"/>
    <s v="Blue"/>
    <s v="UK"/>
    <s v="Mall"/>
    <n v="111.5"/>
    <n v="18"/>
    <n v="2007"/>
    <s v="Dec"/>
    <s v="High"/>
    <s v="Good"/>
    <n v="942.16000000000008"/>
    <n v="0.1"/>
    <n v="1806.3"/>
  </r>
  <r>
    <x v="623"/>
    <x v="121"/>
    <x v="5"/>
    <s v="Sports"/>
    <s v="Green"/>
    <s v="UAE"/>
    <s v="Retail Store"/>
    <n v="136.6"/>
    <n v="6"/>
    <n v="819.6"/>
    <s v="Oct"/>
    <s v="Low"/>
    <s v="Average"/>
    <n v="-1187.4000000000001"/>
    <n v="0.1"/>
    <n v="737.64"/>
  </r>
  <r>
    <x v="624"/>
    <x v="74"/>
    <x v="1"/>
    <s v="Running"/>
    <s v="Green"/>
    <s v="India"/>
    <s v="Retail Store"/>
    <n v="166.02"/>
    <n v="6"/>
    <n v="996.12"/>
    <s v="Mar"/>
    <s v="Low"/>
    <s v="Average"/>
    <n v="176.51999999999998"/>
    <n v="0.1"/>
    <n v="896.50800000000004"/>
  </r>
  <r>
    <x v="625"/>
    <x v="305"/>
    <x v="3"/>
    <s v="Sneakers"/>
    <s v="Blue"/>
    <s v="Saudi Arabia"/>
    <s v="Mall"/>
    <n v="111.16"/>
    <n v="2"/>
    <n v="222.32"/>
    <s v="Oct"/>
    <s v="Low"/>
    <s v="Low"/>
    <n v="-773.8"/>
    <n v="0.1"/>
    <n v="200.08799999999999"/>
  </r>
  <r>
    <x v="626"/>
    <x v="168"/>
    <x v="0"/>
    <s v="Formal"/>
    <s v="White"/>
    <s v="France"/>
    <s v="Mall"/>
    <n v="131.76"/>
    <n v="19"/>
    <n v="2503.44"/>
    <s v="Apr"/>
    <s v="High"/>
    <s v="Good"/>
    <n v="2281.12"/>
    <n v="0.1"/>
    <n v="2253.096"/>
  </r>
  <r>
    <x v="627"/>
    <x v="195"/>
    <x v="4"/>
    <s v="Sports"/>
    <s v="White"/>
    <s v="UAE"/>
    <s v="Online"/>
    <n v="194.44"/>
    <n v="8"/>
    <n v="1555.52"/>
    <s v="Feb"/>
    <s v="Low"/>
    <s v="Good"/>
    <n v="-947.92000000000007"/>
    <n v="0.1"/>
    <n v="1399.9680000000001"/>
  </r>
  <r>
    <x v="628"/>
    <x v="109"/>
    <x v="5"/>
    <s v="Running"/>
    <s v="Blue"/>
    <s v="UK"/>
    <s v="Online"/>
    <n v="38.07"/>
    <n v="11"/>
    <n v="418.77"/>
    <s v="Dec"/>
    <s v="Low"/>
    <s v="Low"/>
    <n v="-1136.75"/>
    <n v="0.1"/>
    <n v="376.89299999999997"/>
  </r>
  <r>
    <x v="629"/>
    <x v="117"/>
    <x v="4"/>
    <s v="Sports"/>
    <s v="Black"/>
    <s v="UAE"/>
    <s v="Online"/>
    <n v="85.54"/>
    <n v="3"/>
    <n v="256.62"/>
    <s v="Dec"/>
    <s v="Low"/>
    <s v="Low"/>
    <n v="-162.14999999999998"/>
    <n v="0.1"/>
    <n v="230.958"/>
  </r>
  <r>
    <x v="630"/>
    <x v="222"/>
    <x v="5"/>
    <s v="Boots"/>
    <s v="Red"/>
    <s v="UK"/>
    <s v="Retail Store"/>
    <n v="186.94"/>
    <n v="13"/>
    <n v="2430.2199999999998"/>
    <s v="Jan"/>
    <s v="High"/>
    <s v="Good"/>
    <n v="2173.6"/>
    <n v="0.1"/>
    <n v="2187.1979999999999"/>
  </r>
  <r>
    <x v="631"/>
    <x v="249"/>
    <x v="4"/>
    <s v="Sneakers"/>
    <s v="Red"/>
    <s v="USA"/>
    <s v="Retail Store"/>
    <n v="226.95"/>
    <n v="13"/>
    <n v="2950.35"/>
    <s v="Sep"/>
    <s v="High"/>
    <s v="Good"/>
    <n v="520.13000000000011"/>
    <n v="0.1"/>
    <n v="2655.3150000000001"/>
  </r>
  <r>
    <x v="632"/>
    <x v="9"/>
    <x v="3"/>
    <s v="Formal"/>
    <s v="Black"/>
    <s v="Saudi Arabia"/>
    <s v="Online"/>
    <n v="142.57"/>
    <n v="8"/>
    <n v="1140.56"/>
    <s v="Oct"/>
    <s v="Low"/>
    <s v="Average"/>
    <n v="-1809.79"/>
    <n v="0.1"/>
    <n v="1026.5039999999999"/>
  </r>
  <r>
    <x v="633"/>
    <x v="306"/>
    <x v="4"/>
    <s v="Sports"/>
    <s v="Black"/>
    <s v="USA"/>
    <s v="Retail Store"/>
    <n v="147.06"/>
    <n v="1"/>
    <n v="147.06"/>
    <s v="May"/>
    <s v="Low"/>
    <s v="Low"/>
    <n v="-993.5"/>
    <n v="0.1"/>
    <n v="132.35400000000001"/>
  </r>
  <r>
    <x v="634"/>
    <x v="154"/>
    <x v="3"/>
    <s v="Boots"/>
    <s v="Black"/>
    <s v="India"/>
    <s v="Online"/>
    <n v="53.58"/>
    <n v="13"/>
    <n v="696.54"/>
    <s v="Mar"/>
    <s v="Low"/>
    <s v="Average"/>
    <n v="549.48"/>
    <n v="0.1"/>
    <n v="626.88599999999997"/>
  </r>
  <r>
    <x v="635"/>
    <x v="150"/>
    <x v="2"/>
    <s v="Formal"/>
    <s v="Green"/>
    <s v="USA"/>
    <s v="Retail Store"/>
    <n v="128.43"/>
    <n v="20"/>
    <n v="2568.6"/>
    <s v="Jun"/>
    <s v="High"/>
    <s v="Good"/>
    <n v="1872.06"/>
    <n v="0.1"/>
    <n v="2311.7399999999998"/>
  </r>
  <r>
    <x v="636"/>
    <x v="307"/>
    <x v="2"/>
    <s v="Formal"/>
    <s v="White"/>
    <s v="USA"/>
    <s v="Online"/>
    <n v="147.18"/>
    <n v="6"/>
    <n v="883.08"/>
    <s v="Dec"/>
    <s v="Low"/>
    <s v="Average"/>
    <n v="-1685.52"/>
    <n v="0.1"/>
    <n v="794.77200000000005"/>
  </r>
  <r>
    <x v="637"/>
    <x v="92"/>
    <x v="3"/>
    <s v="Formal"/>
    <s v="Green"/>
    <s v="India"/>
    <s v="Mall"/>
    <n v="83.34"/>
    <n v="7"/>
    <n v="583.38"/>
    <s v="Jun"/>
    <s v="Low"/>
    <s v="Average"/>
    <n v="-299.70000000000005"/>
    <n v="0.1"/>
    <n v="525.04200000000003"/>
  </r>
  <r>
    <x v="638"/>
    <x v="24"/>
    <x v="1"/>
    <s v="Sports"/>
    <s v="Blue"/>
    <s v="UK"/>
    <s v="Online"/>
    <n v="89.23"/>
    <n v="9"/>
    <n v="803.07"/>
    <s v="Oct"/>
    <s v="Low"/>
    <s v="Average"/>
    <n v="219.69000000000005"/>
    <n v="0.1"/>
    <n v="722.76300000000003"/>
  </r>
  <r>
    <x v="639"/>
    <x v="160"/>
    <x v="2"/>
    <s v="Sneakers"/>
    <s v="Red"/>
    <s v="UK"/>
    <s v="Online"/>
    <n v="113"/>
    <n v="13"/>
    <n v="1469"/>
    <s v="Jan"/>
    <s v="Low"/>
    <s v="Average"/>
    <n v="665.93"/>
    <n v="0.1"/>
    <n v="1322.1000000000001"/>
  </r>
  <r>
    <x v="640"/>
    <x v="280"/>
    <x v="5"/>
    <s v="Running"/>
    <s v="Blue"/>
    <s v="Saudi Arabia"/>
    <s v="Mall"/>
    <n v="34.42"/>
    <n v="1"/>
    <n v="34.42"/>
    <s v="Jul"/>
    <s v="Low"/>
    <s v="Low"/>
    <n v="-1434.58"/>
    <n v="0.1"/>
    <n v="30.978000000000002"/>
  </r>
  <r>
    <x v="641"/>
    <x v="262"/>
    <x v="5"/>
    <s v="Casual"/>
    <s v="Black"/>
    <s v="USA"/>
    <s v="Online"/>
    <n v="100.86"/>
    <n v="20"/>
    <n v="2017.2"/>
    <s v="Nov"/>
    <s v="High"/>
    <s v="Good"/>
    <n v="1982.78"/>
    <n v="0.1"/>
    <n v="1815.48"/>
  </r>
  <r>
    <x v="642"/>
    <x v="154"/>
    <x v="0"/>
    <s v="Formal"/>
    <s v="Black"/>
    <s v="France"/>
    <s v="Retail Store"/>
    <n v="76.52"/>
    <n v="10"/>
    <n v="765.2"/>
    <s v="Mar"/>
    <s v="Low"/>
    <s v="Average"/>
    <n v="-1252"/>
    <n v="0.1"/>
    <n v="688.68000000000006"/>
  </r>
  <r>
    <x v="643"/>
    <x v="145"/>
    <x v="1"/>
    <s v="Sports"/>
    <s v="Black"/>
    <s v="UAE"/>
    <s v="Mall"/>
    <n v="102.05"/>
    <n v="16"/>
    <n v="1632.8"/>
    <s v="Aug"/>
    <s v="Low"/>
    <s v="Good"/>
    <n v="867.59999999999991"/>
    <n v="0.1"/>
    <n v="1469.52"/>
  </r>
  <r>
    <x v="644"/>
    <x v="205"/>
    <x v="4"/>
    <s v="Formal"/>
    <s v="Blue"/>
    <s v="UK"/>
    <s v="Retail Store"/>
    <n v="56.35"/>
    <n v="6"/>
    <n v="338.1"/>
    <s v="Jul"/>
    <s v="Low"/>
    <s v="Low"/>
    <n v="-1294.6999999999998"/>
    <n v="0.1"/>
    <n v="304.29000000000002"/>
  </r>
  <r>
    <x v="645"/>
    <x v="57"/>
    <x v="5"/>
    <s v="Formal"/>
    <s v="Blue"/>
    <s v="UK"/>
    <s v="Retail Store"/>
    <n v="225.92"/>
    <n v="9"/>
    <n v="2033.28"/>
    <s v="Jan"/>
    <s v="High"/>
    <s v="Good"/>
    <n v="1695.1799999999998"/>
    <n v="0.1"/>
    <n v="1829.952"/>
  </r>
  <r>
    <x v="646"/>
    <x v="127"/>
    <x v="3"/>
    <s v="Boots"/>
    <s v="Green"/>
    <s v="USA"/>
    <s v="Online"/>
    <n v="160.59"/>
    <n v="2"/>
    <n v="321.18"/>
    <s v="Oct"/>
    <s v="Low"/>
    <s v="Low"/>
    <n v="-1712.1"/>
    <n v="0.1"/>
    <n v="289.06200000000001"/>
  </r>
  <r>
    <x v="647"/>
    <x v="34"/>
    <x v="2"/>
    <s v="Formal"/>
    <s v="Grey"/>
    <s v="UK"/>
    <s v="Mall"/>
    <n v="179.4"/>
    <n v="12"/>
    <n v="2152.8000000000002"/>
    <s v="Dec"/>
    <s v="High"/>
    <s v="Good"/>
    <n v="1831.6200000000001"/>
    <n v="0.1"/>
    <n v="1937.5200000000002"/>
  </r>
  <r>
    <x v="648"/>
    <x v="202"/>
    <x v="2"/>
    <s v="Formal"/>
    <s v="Grey"/>
    <s v="UAE"/>
    <s v="Retail Store"/>
    <n v="203.62"/>
    <n v="13"/>
    <n v="2647.06"/>
    <s v="Feb"/>
    <s v="High"/>
    <s v="Good"/>
    <n v="494.25999999999976"/>
    <n v="0.1"/>
    <n v="2382.3539999999998"/>
  </r>
  <r>
    <x v="649"/>
    <x v="125"/>
    <x v="5"/>
    <s v="Sports"/>
    <s v="Black"/>
    <s v="Germany"/>
    <s v="Mall"/>
    <n v="139.66"/>
    <n v="8"/>
    <n v="1117.28"/>
    <s v="Oct"/>
    <s v="Low"/>
    <s v="Average"/>
    <n v="-1529.78"/>
    <n v="0.1"/>
    <n v="1005.552"/>
  </r>
  <r>
    <x v="650"/>
    <x v="308"/>
    <x v="2"/>
    <s v="Sneakers"/>
    <s v="Grey"/>
    <s v="UAE"/>
    <s v="Mall"/>
    <n v="49.12"/>
    <n v="17"/>
    <n v="835.04"/>
    <s v="Jan"/>
    <s v="Low"/>
    <s v="Average"/>
    <n v="-282.24"/>
    <n v="0.1"/>
    <n v="751.53599999999994"/>
  </r>
  <r>
    <x v="651"/>
    <x v="60"/>
    <x v="5"/>
    <s v="Casual"/>
    <s v="White"/>
    <s v="UK"/>
    <s v="Online"/>
    <n v="148.16"/>
    <n v="4"/>
    <n v="592.64"/>
    <s v="Mar"/>
    <s v="Low"/>
    <s v="Average"/>
    <n v="-242.39999999999998"/>
    <n v="0.1"/>
    <n v="533.37599999999998"/>
  </r>
  <r>
    <x v="652"/>
    <x v="27"/>
    <x v="5"/>
    <s v="Running"/>
    <s v="Green"/>
    <s v="Germany"/>
    <s v="Online"/>
    <n v="159.11000000000001"/>
    <n v="2"/>
    <n v="318.22000000000003"/>
    <s v="Mar"/>
    <s v="Low"/>
    <s v="Low"/>
    <n v="-274.41999999999996"/>
    <n v="0.1"/>
    <n v="286.39800000000002"/>
  </r>
  <r>
    <x v="653"/>
    <x v="309"/>
    <x v="2"/>
    <s v="Sports"/>
    <s v="Blue"/>
    <s v="UAE"/>
    <s v="Online"/>
    <n v="194"/>
    <n v="5"/>
    <n v="970"/>
    <s v="Nov"/>
    <s v="Low"/>
    <s v="Average"/>
    <n v="651.78"/>
    <n v="0.1"/>
    <n v="873"/>
  </r>
  <r>
    <x v="654"/>
    <x v="288"/>
    <x v="2"/>
    <s v="Formal"/>
    <s v="Grey"/>
    <s v="France"/>
    <s v="Retail Store"/>
    <n v="124.97"/>
    <n v="13"/>
    <n v="1624.61"/>
    <s v="Feb"/>
    <s v="Low"/>
    <s v="Good"/>
    <n v="654.6099999999999"/>
    <n v="0.1"/>
    <n v="1462.1489999999999"/>
  </r>
  <r>
    <x v="655"/>
    <x v="282"/>
    <x v="0"/>
    <s v="Boots"/>
    <s v="Grey"/>
    <s v="India"/>
    <s v="Mall"/>
    <n v="58.07"/>
    <n v="15"/>
    <n v="871.05"/>
    <s v="Sep"/>
    <s v="Low"/>
    <s v="Average"/>
    <n v="-753.56"/>
    <n v="0.1"/>
    <n v="783.94499999999994"/>
  </r>
  <r>
    <x v="656"/>
    <x v="233"/>
    <x v="5"/>
    <s v="Casual"/>
    <s v="White"/>
    <s v="India"/>
    <s v="Mall"/>
    <n v="92.43"/>
    <n v="4"/>
    <n v="369.72"/>
    <s v="Aug"/>
    <s v="Low"/>
    <s v="Low"/>
    <n v="-501.32999999999993"/>
    <n v="0.1"/>
    <n v="332.74800000000005"/>
  </r>
  <r>
    <x v="657"/>
    <x v="241"/>
    <x v="0"/>
    <s v="Sneakers"/>
    <s v="Black"/>
    <s v="Saudi Arabia"/>
    <s v="Retail Store"/>
    <n v="109.88"/>
    <n v="4"/>
    <n v="439.52"/>
    <s v="Oct"/>
    <s v="Low"/>
    <s v="Low"/>
    <n v="69.799999999999955"/>
    <n v="0.1"/>
    <n v="395.56799999999998"/>
  </r>
  <r>
    <x v="658"/>
    <x v="166"/>
    <x v="5"/>
    <s v="Sports"/>
    <s v="Red"/>
    <s v="UAE"/>
    <s v="Retail Store"/>
    <n v="172.1"/>
    <n v="12"/>
    <n v="2065.1999999999998"/>
    <s v="Oct"/>
    <s v="High"/>
    <s v="Good"/>
    <n v="1625.6799999999998"/>
    <n v="0.1"/>
    <n v="1858.6799999999998"/>
  </r>
  <r>
    <x v="659"/>
    <x v="201"/>
    <x v="5"/>
    <s v="Running"/>
    <s v="White"/>
    <s v="France"/>
    <s v="Retail Store"/>
    <n v="155.57"/>
    <n v="20"/>
    <n v="3111.4"/>
    <s v="Oct"/>
    <s v="High"/>
    <s v="Excellent"/>
    <n v="1046.2000000000003"/>
    <n v="0.1"/>
    <n v="2800.26"/>
  </r>
  <r>
    <x v="660"/>
    <x v="16"/>
    <x v="2"/>
    <s v="Boots"/>
    <s v="Green"/>
    <s v="Germany"/>
    <s v="Online"/>
    <n v="108.34"/>
    <n v="20"/>
    <n v="2166.8000000000002"/>
    <s v="Mar"/>
    <s v="High"/>
    <s v="Good"/>
    <n v="-944.59999999999991"/>
    <n v="0.1"/>
    <n v="1950.1200000000001"/>
  </r>
  <r>
    <x v="661"/>
    <x v="159"/>
    <x v="1"/>
    <s v="Casual"/>
    <s v="Black"/>
    <s v="UAE"/>
    <s v="Retail Store"/>
    <n v="247.03"/>
    <n v="11"/>
    <n v="2717.33"/>
    <s v="Jul"/>
    <s v="High"/>
    <s v="Good"/>
    <n v="550.52999999999975"/>
    <n v="0.1"/>
    <n v="2445.5970000000002"/>
  </r>
  <r>
    <x v="662"/>
    <x v="310"/>
    <x v="0"/>
    <s v="Sports"/>
    <s v="Blue"/>
    <s v="France"/>
    <s v="Retail Store"/>
    <n v="163.27000000000001"/>
    <n v="12"/>
    <n v="1959.24"/>
    <s v="May"/>
    <s v="Low"/>
    <s v="Good"/>
    <n v="-758.08999999999992"/>
    <n v="0.1"/>
    <n v="1763.316"/>
  </r>
  <r>
    <x v="663"/>
    <x v="116"/>
    <x v="3"/>
    <s v="Casual"/>
    <s v="Blue"/>
    <s v="UAE"/>
    <s v="Retail Store"/>
    <n v="82.19"/>
    <n v="4"/>
    <n v="328.76"/>
    <s v="Sep"/>
    <s v="Low"/>
    <s v="Low"/>
    <n v="-1630.48"/>
    <n v="0.1"/>
    <n v="295.88400000000001"/>
  </r>
  <r>
    <x v="664"/>
    <x v="77"/>
    <x v="1"/>
    <s v="Formal"/>
    <s v="Grey"/>
    <s v="UAE"/>
    <s v="Online"/>
    <n v="52.39"/>
    <n v="9"/>
    <n v="471.51"/>
    <s v="Jun"/>
    <s v="Low"/>
    <s v="Low"/>
    <n v="142.75"/>
    <n v="0.1"/>
    <n v="424.35899999999998"/>
  </r>
  <r>
    <x v="665"/>
    <x v="311"/>
    <x v="3"/>
    <s v="Formal"/>
    <s v="Green"/>
    <s v="Germany"/>
    <s v="Mall"/>
    <n v="63.63"/>
    <n v="15"/>
    <n v="954.45"/>
    <s v="Apr"/>
    <s v="Low"/>
    <s v="Average"/>
    <n v="482.94000000000005"/>
    <n v="0.1"/>
    <n v="859.00500000000011"/>
  </r>
  <r>
    <x v="666"/>
    <x v="30"/>
    <x v="2"/>
    <s v="Casual"/>
    <s v="Black"/>
    <s v="France"/>
    <s v="Mall"/>
    <n v="84.11"/>
    <n v="2"/>
    <n v="168.22"/>
    <s v="Jul"/>
    <s v="Low"/>
    <s v="Low"/>
    <n v="-786.23"/>
    <n v="0.1"/>
    <n v="151.398"/>
  </r>
  <r>
    <x v="667"/>
    <x v="239"/>
    <x v="3"/>
    <s v="Sneakers"/>
    <s v="Grey"/>
    <s v="USA"/>
    <s v="Online"/>
    <n v="65.349999999999994"/>
    <n v="13"/>
    <n v="849.55"/>
    <s v="Sep"/>
    <s v="Low"/>
    <s v="Average"/>
    <n v="681.32999999999993"/>
    <n v="0.1"/>
    <n v="764.59500000000003"/>
  </r>
  <r>
    <x v="668"/>
    <x v="119"/>
    <x v="0"/>
    <s v="Casual"/>
    <s v="Black"/>
    <s v="Germany"/>
    <s v="Online"/>
    <n v="71.040000000000006"/>
    <n v="7"/>
    <n v="497.28"/>
    <s v="Apr"/>
    <s v="Low"/>
    <s v="Low"/>
    <n v="-352.27"/>
    <n v="0.1"/>
    <n v="447.55199999999996"/>
  </r>
  <r>
    <x v="669"/>
    <x v="280"/>
    <x v="4"/>
    <s v="Sports"/>
    <s v="Red"/>
    <s v="India"/>
    <s v="Retail Store"/>
    <n v="92.72"/>
    <n v="7"/>
    <n v="649.04"/>
    <s v="Jul"/>
    <s v="Low"/>
    <s v="Average"/>
    <n v="151.76"/>
    <n v="0.1"/>
    <n v="584.13599999999997"/>
  </r>
  <r>
    <x v="670"/>
    <x v="11"/>
    <x v="1"/>
    <s v="Running"/>
    <s v="White"/>
    <s v="France"/>
    <s v="Retail Store"/>
    <n v="68.14"/>
    <n v="4"/>
    <n v="272.56"/>
    <s v="Nov"/>
    <s v="Low"/>
    <s v="Low"/>
    <n v="-376.47999999999996"/>
    <n v="0.1"/>
    <n v="245.304"/>
  </r>
  <r>
    <x v="671"/>
    <x v="133"/>
    <x v="3"/>
    <s v="Formal"/>
    <s v="Grey"/>
    <s v="India"/>
    <s v="Retail Store"/>
    <n v="227.29"/>
    <n v="15"/>
    <n v="3409.35"/>
    <s v="Nov"/>
    <s v="High"/>
    <s v="Excellent"/>
    <n v="3136.79"/>
    <n v="0.1"/>
    <n v="3068.415"/>
  </r>
  <r>
    <x v="672"/>
    <x v="220"/>
    <x v="4"/>
    <s v="Boots"/>
    <s v="Green"/>
    <s v="USA"/>
    <s v="Retail Store"/>
    <n v="47.65"/>
    <n v="6"/>
    <n v="285.89999999999998"/>
    <s v="Jun"/>
    <s v="Low"/>
    <s v="Low"/>
    <n v="-3123.45"/>
    <n v="0.1"/>
    <n v="257.31"/>
  </r>
  <r>
    <x v="673"/>
    <x v="112"/>
    <x v="0"/>
    <s v="Casual"/>
    <s v="Grey"/>
    <s v="Saudi Arabia"/>
    <s v="Online"/>
    <n v="145.38999999999999"/>
    <n v="13"/>
    <n v="1890.07"/>
    <s v="Jan"/>
    <s v="Low"/>
    <s v="Good"/>
    <n v="1604.17"/>
    <n v="0.1"/>
    <n v="1701.0629999999999"/>
  </r>
  <r>
    <x v="674"/>
    <x v="168"/>
    <x v="1"/>
    <s v="Casual"/>
    <s v="Blue"/>
    <s v="UAE"/>
    <s v="Retail Store"/>
    <n v="120.29"/>
    <n v="8"/>
    <n v="962.32"/>
    <s v="Apr"/>
    <s v="Low"/>
    <s v="Average"/>
    <n v="-927.74999999999989"/>
    <n v="0.1"/>
    <n v="866.08800000000008"/>
  </r>
  <r>
    <x v="675"/>
    <x v="312"/>
    <x v="1"/>
    <s v="Running"/>
    <s v="Red"/>
    <s v="UK"/>
    <s v="Mall"/>
    <n v="246.12"/>
    <n v="1"/>
    <n v="246.12"/>
    <s v="Sep"/>
    <s v="Low"/>
    <s v="Low"/>
    <n v="-716.2"/>
    <n v="0.1"/>
    <n v="221.50800000000001"/>
  </r>
  <r>
    <x v="676"/>
    <x v="313"/>
    <x v="0"/>
    <s v="Casual"/>
    <s v="Blue"/>
    <s v="India"/>
    <s v="Retail Store"/>
    <n v="54.65"/>
    <n v="20"/>
    <n v="1093"/>
    <s v="Mar"/>
    <s v="Low"/>
    <s v="Average"/>
    <n v="846.88"/>
    <n v="0.1"/>
    <n v="983.7"/>
  </r>
  <r>
    <x v="677"/>
    <x v="229"/>
    <x v="5"/>
    <s v="Formal"/>
    <s v="Blue"/>
    <s v="Germany"/>
    <s v="Retail Store"/>
    <n v="117.53"/>
    <n v="9"/>
    <n v="1057.77"/>
    <s v="Dec"/>
    <s v="Low"/>
    <s v="Average"/>
    <n v="-35.230000000000018"/>
    <n v="0.1"/>
    <n v="951.99300000000005"/>
  </r>
  <r>
    <x v="678"/>
    <x v="314"/>
    <x v="4"/>
    <s v="Boots"/>
    <s v="Grey"/>
    <s v="Saudi Arabia"/>
    <s v="Mall"/>
    <n v="243.28"/>
    <n v="15"/>
    <n v="3649.2"/>
    <s v="Apr"/>
    <s v="High"/>
    <s v="Excellent"/>
    <n v="2591.4299999999998"/>
    <n v="0.1"/>
    <n v="3284.2799999999997"/>
  </r>
  <r>
    <x v="679"/>
    <x v="165"/>
    <x v="0"/>
    <s v="Running"/>
    <s v="Grey"/>
    <s v="UAE"/>
    <s v="Retail Store"/>
    <n v="220.41"/>
    <n v="19"/>
    <n v="4187.79"/>
    <s v="Jul"/>
    <s v="High"/>
    <s v="Excellent"/>
    <n v="538.59000000000015"/>
    <n v="0.1"/>
    <n v="3769.011"/>
  </r>
  <r>
    <x v="680"/>
    <x v="186"/>
    <x v="2"/>
    <s v="Sports"/>
    <s v="Blue"/>
    <s v="UAE"/>
    <s v="Online"/>
    <n v="209.76"/>
    <n v="20"/>
    <n v="4195.2"/>
    <s v="Oct"/>
    <s v="High"/>
    <s v="Excellent"/>
    <n v="7.4099999999998545"/>
    <n v="0.1"/>
    <n v="3775.68"/>
  </r>
  <r>
    <x v="681"/>
    <x v="315"/>
    <x v="4"/>
    <s v="Sports"/>
    <s v="Green"/>
    <s v="France"/>
    <s v="Retail Store"/>
    <n v="86.74"/>
    <n v="3"/>
    <n v="260.22000000000003"/>
    <s v="Sep"/>
    <s v="Low"/>
    <s v="Low"/>
    <n v="-3934.9799999999996"/>
    <n v="0.1"/>
    <n v="234.19800000000004"/>
  </r>
  <r>
    <x v="682"/>
    <x v="316"/>
    <x v="3"/>
    <s v="Casual"/>
    <s v="Grey"/>
    <s v="Saudi Arabia"/>
    <s v="Online"/>
    <n v="67.599999999999994"/>
    <n v="10"/>
    <n v="676"/>
    <s v="May"/>
    <s v="Low"/>
    <s v="Average"/>
    <n v="415.78"/>
    <n v="0.1"/>
    <n v="608.4"/>
  </r>
  <r>
    <x v="683"/>
    <x v="317"/>
    <x v="5"/>
    <s v="Boots"/>
    <s v="Blue"/>
    <s v="UAE"/>
    <s v="Online"/>
    <n v="177.1"/>
    <n v="20"/>
    <n v="3542"/>
    <s v="Jan"/>
    <s v="High"/>
    <s v="Excellent"/>
    <n v="2866"/>
    <n v="0.1"/>
    <n v="3187.8"/>
  </r>
  <r>
    <x v="684"/>
    <x v="318"/>
    <x v="4"/>
    <s v="Sports"/>
    <s v="Red"/>
    <s v="Germany"/>
    <s v="Retail Store"/>
    <n v="234.46"/>
    <n v="16"/>
    <n v="3751.36"/>
    <s v="Jan"/>
    <s v="High"/>
    <s v="Excellent"/>
    <n v="209.36000000000013"/>
    <n v="0.1"/>
    <n v="3376.2240000000002"/>
  </r>
  <r>
    <x v="685"/>
    <x v="319"/>
    <x v="1"/>
    <s v="Sneakers"/>
    <s v="White"/>
    <s v="France"/>
    <s v="Mall"/>
    <n v="152.49"/>
    <n v="19"/>
    <n v="2897.31"/>
    <s v="Jan"/>
    <s v="High"/>
    <s v="Good"/>
    <n v="-854.05000000000018"/>
    <n v="0.1"/>
    <n v="2607.5790000000002"/>
  </r>
  <r>
    <x v="686"/>
    <x v="168"/>
    <x v="1"/>
    <s v="Formal"/>
    <s v="Green"/>
    <s v="France"/>
    <s v="Mall"/>
    <n v="155.75"/>
    <n v="18"/>
    <n v="2803.5"/>
    <s v="Apr"/>
    <s v="High"/>
    <s v="Good"/>
    <n v="-93.809999999999945"/>
    <n v="0.1"/>
    <n v="2523.15"/>
  </r>
  <r>
    <x v="687"/>
    <x v="157"/>
    <x v="1"/>
    <s v="Sneakers"/>
    <s v="White"/>
    <s v="France"/>
    <s v="Online"/>
    <n v="91.6"/>
    <n v="6"/>
    <n v="549.6"/>
    <s v="Jun"/>
    <s v="Low"/>
    <s v="Average"/>
    <n v="-2253.9"/>
    <n v="0.1"/>
    <n v="494.64000000000004"/>
  </r>
  <r>
    <x v="688"/>
    <x v="145"/>
    <x v="1"/>
    <s v="Sports"/>
    <s v="Green"/>
    <s v="Saudi Arabia"/>
    <s v="Mall"/>
    <n v="199.29"/>
    <n v="5"/>
    <n v="996.45"/>
    <s v="Aug"/>
    <s v="Low"/>
    <s v="Average"/>
    <n v="446.85"/>
    <n v="0.1"/>
    <n v="896.80500000000006"/>
  </r>
  <r>
    <x v="689"/>
    <x v="38"/>
    <x v="1"/>
    <s v="Running"/>
    <s v="White"/>
    <s v="France"/>
    <s v="Online"/>
    <n v="71.150000000000006"/>
    <n v="11"/>
    <n v="782.65"/>
    <s v="Apr"/>
    <s v="Low"/>
    <s v="Average"/>
    <n v="-213.80000000000007"/>
    <n v="0.1"/>
    <n v="704.38499999999999"/>
  </r>
  <r>
    <x v="690"/>
    <x v="274"/>
    <x v="4"/>
    <s v="Sports"/>
    <s v="Blue"/>
    <s v="India"/>
    <s v="Retail Store"/>
    <n v="101.21"/>
    <n v="14"/>
    <n v="1416.94"/>
    <s v="Jun"/>
    <s v="Low"/>
    <s v="Average"/>
    <n v="634.29000000000008"/>
    <n v="0.1"/>
    <n v="1275.2460000000001"/>
  </r>
  <r>
    <x v="691"/>
    <x v="320"/>
    <x v="5"/>
    <s v="Running"/>
    <s v="Green"/>
    <s v="India"/>
    <s v="Mall"/>
    <n v="123.6"/>
    <n v="4"/>
    <n v="494.4"/>
    <s v="Aug"/>
    <s v="Low"/>
    <s v="Low"/>
    <n v="-922.54000000000008"/>
    <n v="0.1"/>
    <n v="444.96"/>
  </r>
  <r>
    <x v="692"/>
    <x v="48"/>
    <x v="5"/>
    <s v="Casual"/>
    <s v="Grey"/>
    <s v="USA"/>
    <s v="Mall"/>
    <n v="141.66999999999999"/>
    <n v="3"/>
    <n v="425.01"/>
    <s v="Nov"/>
    <s v="Low"/>
    <s v="Low"/>
    <n v="-69.389999999999986"/>
    <n v="0.1"/>
    <n v="382.50900000000001"/>
  </r>
  <r>
    <x v="693"/>
    <x v="20"/>
    <x v="4"/>
    <s v="Formal"/>
    <s v="Black"/>
    <s v="Saudi Arabia"/>
    <s v="Online"/>
    <n v="83.33"/>
    <n v="17"/>
    <n v="1416.61"/>
    <s v="Jul"/>
    <s v="Low"/>
    <s v="Average"/>
    <n v="991.59999999999991"/>
    <n v="0.1"/>
    <n v="1274.9489999999998"/>
  </r>
  <r>
    <x v="694"/>
    <x v="18"/>
    <x v="4"/>
    <s v="Formal"/>
    <s v="Grey"/>
    <s v="Germany"/>
    <s v="Online"/>
    <n v="55.26"/>
    <n v="7"/>
    <n v="386.82"/>
    <s v="Mar"/>
    <s v="Low"/>
    <s v="Low"/>
    <n v="-1029.79"/>
    <n v="0.1"/>
    <n v="348.13799999999998"/>
  </r>
  <r>
    <x v="695"/>
    <x v="15"/>
    <x v="0"/>
    <s v="Formal"/>
    <s v="Blue"/>
    <s v="UAE"/>
    <s v="Online"/>
    <n v="164.34"/>
    <n v="6"/>
    <n v="986.04"/>
    <s v="Jun"/>
    <s v="Low"/>
    <s v="Average"/>
    <n v="599.22"/>
    <n v="0.1"/>
    <n v="887.43600000000004"/>
  </r>
  <r>
    <x v="696"/>
    <x v="69"/>
    <x v="0"/>
    <s v="Formal"/>
    <s v="Blue"/>
    <s v="UK"/>
    <s v="Online"/>
    <n v="93.5"/>
    <n v="2"/>
    <n v="187"/>
    <s v="Jun"/>
    <s v="Low"/>
    <s v="Low"/>
    <n v="-799.04"/>
    <n v="0.1"/>
    <n v="168.3"/>
  </r>
  <r>
    <x v="697"/>
    <x v="9"/>
    <x v="5"/>
    <s v="Running"/>
    <s v="White"/>
    <s v="India"/>
    <s v="Retail Store"/>
    <n v="157.87"/>
    <n v="6"/>
    <n v="947.22"/>
    <s v="Oct"/>
    <s v="Low"/>
    <s v="Average"/>
    <n v="760.22"/>
    <n v="0.1"/>
    <n v="852.49800000000005"/>
  </r>
  <r>
    <x v="698"/>
    <x v="79"/>
    <x v="5"/>
    <s v="Formal"/>
    <s v="Red"/>
    <s v="Germany"/>
    <s v="Online"/>
    <n v="63.96"/>
    <n v="14"/>
    <n v="895.44"/>
    <s v="Nov"/>
    <s v="Low"/>
    <s v="Average"/>
    <n v="-51.779999999999973"/>
    <n v="0.1"/>
    <n v="805.89600000000007"/>
  </r>
  <r>
    <x v="699"/>
    <x v="64"/>
    <x v="3"/>
    <s v="Boots"/>
    <s v="Blue"/>
    <s v="USA"/>
    <s v="Retail Store"/>
    <n v="135.85"/>
    <n v="18"/>
    <n v="2445.3000000000002"/>
    <s v="Jan"/>
    <s v="High"/>
    <s v="Good"/>
    <n v="1549.8600000000001"/>
    <n v="0.1"/>
    <n v="2200.7700000000004"/>
  </r>
  <r>
    <x v="700"/>
    <x v="189"/>
    <x v="0"/>
    <s v="Boots"/>
    <s v="Black"/>
    <s v="UAE"/>
    <s v="Mall"/>
    <n v="147.16999999999999"/>
    <n v="7"/>
    <n v="1030.19"/>
    <s v="Sep"/>
    <s v="Low"/>
    <s v="Average"/>
    <n v="-1415.1100000000001"/>
    <n v="0.1"/>
    <n v="927.17100000000005"/>
  </r>
  <r>
    <x v="701"/>
    <x v="37"/>
    <x v="1"/>
    <s v="Sports"/>
    <s v="Blue"/>
    <s v="UK"/>
    <s v="Online"/>
    <n v="41.4"/>
    <n v="8"/>
    <n v="331.2"/>
    <s v="May"/>
    <s v="Low"/>
    <s v="Low"/>
    <n v="-698.99"/>
    <n v="0.1"/>
    <n v="298.08"/>
  </r>
  <r>
    <x v="702"/>
    <x v="200"/>
    <x v="2"/>
    <s v="Sports"/>
    <s v="White"/>
    <s v="USA"/>
    <s v="Online"/>
    <n v="104.05"/>
    <n v="17"/>
    <n v="1768.85"/>
    <s v="Jul"/>
    <s v="Low"/>
    <s v="Good"/>
    <n v="1437.6499999999999"/>
    <n v="0.1"/>
    <n v="1591.9649999999999"/>
  </r>
  <r>
    <x v="703"/>
    <x v="23"/>
    <x v="5"/>
    <s v="Boots"/>
    <s v="Grey"/>
    <s v="India"/>
    <s v="Mall"/>
    <n v="59.57"/>
    <n v="10"/>
    <n v="595.70000000000005"/>
    <s v="Jun"/>
    <s v="Low"/>
    <s v="Average"/>
    <n v="-1173.1499999999999"/>
    <n v="0.1"/>
    <n v="536.13000000000011"/>
  </r>
  <r>
    <x v="704"/>
    <x v="211"/>
    <x v="1"/>
    <s v="Casual"/>
    <s v="Blue"/>
    <s v="Germany"/>
    <s v="Retail Store"/>
    <n v="43.94"/>
    <n v="14"/>
    <n v="615.16"/>
    <s v="Jun"/>
    <s v="Low"/>
    <s v="Average"/>
    <n v="19.459999999999923"/>
    <n v="0.1"/>
    <n v="553.64400000000001"/>
  </r>
  <r>
    <x v="705"/>
    <x v="311"/>
    <x v="5"/>
    <s v="Running"/>
    <s v="White"/>
    <s v="UK"/>
    <s v="Mall"/>
    <n v="247.79"/>
    <n v="6"/>
    <n v="1486.74"/>
    <s v="Apr"/>
    <s v="Low"/>
    <s v="Average"/>
    <n v="871.58"/>
    <n v="0.1"/>
    <n v="1338.066"/>
  </r>
  <r>
    <x v="706"/>
    <x v="162"/>
    <x v="1"/>
    <s v="Running"/>
    <s v="Grey"/>
    <s v="India"/>
    <s v="Online"/>
    <n v="100.92"/>
    <n v="7"/>
    <n v="706.44"/>
    <s v="Mar"/>
    <s v="Low"/>
    <s v="Average"/>
    <n v="-780.3"/>
    <n v="0.1"/>
    <n v="635.79600000000005"/>
  </r>
  <r>
    <x v="707"/>
    <x v="231"/>
    <x v="1"/>
    <s v="Boots"/>
    <s v="Black"/>
    <s v="Germany"/>
    <s v="Mall"/>
    <n v="208.17"/>
    <n v="12"/>
    <n v="2498.04"/>
    <s v="Mar"/>
    <s v="High"/>
    <s v="Good"/>
    <n v="1791.6"/>
    <n v="0.1"/>
    <n v="2248.2359999999999"/>
  </r>
  <r>
    <x v="708"/>
    <x v="156"/>
    <x v="2"/>
    <s v="Running"/>
    <s v="Grey"/>
    <s v="USA"/>
    <s v="Mall"/>
    <n v="86.02"/>
    <n v="18"/>
    <n v="1548.36"/>
    <s v="May"/>
    <s v="Low"/>
    <s v="Good"/>
    <n v="-949.68000000000006"/>
    <n v="0.1"/>
    <n v="1393.5239999999999"/>
  </r>
  <r>
    <x v="709"/>
    <x v="178"/>
    <x v="0"/>
    <s v="Boots"/>
    <s v="Black"/>
    <s v="Germany"/>
    <s v="Retail Store"/>
    <n v="179.93"/>
    <n v="1"/>
    <n v="179.93"/>
    <s v="Feb"/>
    <s v="Low"/>
    <s v="Low"/>
    <n v="-1368.4299999999998"/>
    <n v="0.1"/>
    <n v="161.93700000000001"/>
  </r>
  <r>
    <x v="710"/>
    <x v="276"/>
    <x v="2"/>
    <s v="Sports"/>
    <s v="Red"/>
    <s v="UAE"/>
    <s v="Online"/>
    <n v="197.25"/>
    <n v="4"/>
    <n v="789"/>
    <s v="Jul"/>
    <s v="Low"/>
    <s v="Average"/>
    <n v="609.06999999999994"/>
    <n v="0.1"/>
    <n v="710.1"/>
  </r>
  <r>
    <x v="711"/>
    <x v="256"/>
    <x v="4"/>
    <s v="Formal"/>
    <s v="Green"/>
    <s v="USA"/>
    <s v="Mall"/>
    <n v="161.04"/>
    <n v="1"/>
    <n v="161.04"/>
    <s v="Apr"/>
    <s v="Low"/>
    <s v="Low"/>
    <n v="-627.96"/>
    <n v="0.1"/>
    <n v="144.93600000000001"/>
  </r>
  <r>
    <x v="712"/>
    <x v="282"/>
    <x v="2"/>
    <s v="Sneakers"/>
    <s v="Green"/>
    <s v="UK"/>
    <s v="Retail Store"/>
    <n v="133.75"/>
    <n v="9"/>
    <n v="1203.75"/>
    <s v="Sep"/>
    <s v="Low"/>
    <s v="Average"/>
    <n v="1042.71"/>
    <n v="0.1"/>
    <n v="1083.375"/>
  </r>
  <r>
    <x v="713"/>
    <x v="321"/>
    <x v="1"/>
    <s v="Sneakers"/>
    <s v="Black"/>
    <s v="France"/>
    <s v="Online"/>
    <n v="120.61"/>
    <n v="17"/>
    <n v="2050.37"/>
    <s v="Feb"/>
    <s v="High"/>
    <s v="Good"/>
    <n v="846.61999999999989"/>
    <n v="0.1"/>
    <n v="1845.3329999999999"/>
  </r>
  <r>
    <x v="714"/>
    <x v="54"/>
    <x v="3"/>
    <s v="Sneakers"/>
    <s v="White"/>
    <s v="Saudi Arabia"/>
    <s v="Retail Store"/>
    <n v="106.75"/>
    <n v="16"/>
    <n v="1708"/>
    <s v="Feb"/>
    <s v="Low"/>
    <s v="Good"/>
    <n v="-342.36999999999989"/>
    <n v="0.1"/>
    <n v="1537.2"/>
  </r>
  <r>
    <x v="715"/>
    <x v="322"/>
    <x v="4"/>
    <s v="Boots"/>
    <s v="Red"/>
    <s v="France"/>
    <s v="Online"/>
    <n v="234.5"/>
    <n v="7"/>
    <n v="1641.5"/>
    <s v="Sep"/>
    <s v="Low"/>
    <s v="Good"/>
    <n v="-66.5"/>
    <n v="0.1"/>
    <n v="1477.3500000000001"/>
  </r>
  <r>
    <x v="716"/>
    <x v="300"/>
    <x v="5"/>
    <s v="Casual"/>
    <s v="Green"/>
    <s v="Germany"/>
    <s v="Retail Store"/>
    <n v="212.74"/>
    <n v="18"/>
    <n v="3829.32"/>
    <s v="Jan"/>
    <s v="High"/>
    <s v="Excellent"/>
    <n v="2187.8200000000002"/>
    <n v="0.1"/>
    <n v="3446.3880000000004"/>
  </r>
  <r>
    <x v="717"/>
    <x v="251"/>
    <x v="0"/>
    <s v="Boots"/>
    <s v="Black"/>
    <s v="USA"/>
    <s v="Mall"/>
    <n v="242.31"/>
    <n v="1"/>
    <n v="242.31"/>
    <s v="May"/>
    <s v="Low"/>
    <s v="Low"/>
    <n v="-3587.01"/>
    <n v="0.1"/>
    <n v="218.07900000000001"/>
  </r>
  <r>
    <x v="718"/>
    <x v="34"/>
    <x v="3"/>
    <s v="Running"/>
    <s v="Grey"/>
    <s v="USA"/>
    <s v="Mall"/>
    <n v="57.35"/>
    <n v="16"/>
    <n v="917.6"/>
    <s v="Dec"/>
    <s v="Low"/>
    <s v="Average"/>
    <n v="675.29"/>
    <n v="0.1"/>
    <n v="825.84"/>
  </r>
  <r>
    <x v="719"/>
    <x v="210"/>
    <x v="1"/>
    <s v="Casual"/>
    <s v="Red"/>
    <s v="France"/>
    <s v="Retail Store"/>
    <n v="190.79"/>
    <n v="9"/>
    <n v="1717.11"/>
    <s v="Feb"/>
    <s v="Low"/>
    <s v="Good"/>
    <n v="799.50999999999988"/>
    <n v="0.1"/>
    <n v="1545.3989999999999"/>
  </r>
  <r>
    <x v="720"/>
    <x v="320"/>
    <x v="0"/>
    <s v="Casual"/>
    <s v="Black"/>
    <s v="Saudi Arabia"/>
    <s v="Retail Store"/>
    <n v="236.43"/>
    <n v="2"/>
    <n v="472.86"/>
    <s v="Aug"/>
    <s v="Low"/>
    <s v="Low"/>
    <n v="-1244.25"/>
    <n v="0.1"/>
    <n v="425.57400000000001"/>
  </r>
  <r>
    <x v="721"/>
    <x v="280"/>
    <x v="5"/>
    <s v="Boots"/>
    <s v="Black"/>
    <s v="USA"/>
    <s v="Online"/>
    <n v="69.87"/>
    <n v="11"/>
    <n v="768.57"/>
    <s v="Jul"/>
    <s v="Low"/>
    <s v="Average"/>
    <n v="295.71000000000004"/>
    <n v="0.1"/>
    <n v="691.71300000000008"/>
  </r>
  <r>
    <x v="722"/>
    <x v="323"/>
    <x v="1"/>
    <s v="Boots"/>
    <s v="White"/>
    <s v="France"/>
    <s v="Retail Store"/>
    <n v="44.63"/>
    <n v="5"/>
    <n v="223.15"/>
    <s v="Jan"/>
    <s v="Low"/>
    <s v="Low"/>
    <n v="-545.42000000000007"/>
    <n v="0.1"/>
    <n v="200.83500000000001"/>
  </r>
  <r>
    <x v="723"/>
    <x v="279"/>
    <x v="4"/>
    <s v="Boots"/>
    <s v="Black"/>
    <s v="France"/>
    <s v="Retail Store"/>
    <n v="193.05"/>
    <n v="20"/>
    <n v="3861"/>
    <s v="Aug"/>
    <s v="High"/>
    <s v="Excellent"/>
    <n v="3637.85"/>
    <n v="0.1"/>
    <n v="3474.9"/>
  </r>
  <r>
    <x v="724"/>
    <x v="38"/>
    <x v="5"/>
    <s v="Formal"/>
    <s v="Red"/>
    <s v="France"/>
    <s v="Retail Store"/>
    <n v="156.38"/>
    <n v="4"/>
    <n v="625.52"/>
    <s v="Apr"/>
    <s v="Low"/>
    <s v="Average"/>
    <n v="-3235.48"/>
    <n v="0.1"/>
    <n v="562.96799999999996"/>
  </r>
  <r>
    <x v="725"/>
    <x v="29"/>
    <x v="5"/>
    <s v="Boots"/>
    <s v="White"/>
    <s v="USA"/>
    <s v="Online"/>
    <n v="215.2"/>
    <n v="16"/>
    <n v="3443.2"/>
    <s v="Dec"/>
    <s v="High"/>
    <s v="Excellent"/>
    <n v="2817.68"/>
    <n v="0.1"/>
    <n v="3098.88"/>
  </r>
  <r>
    <x v="726"/>
    <x v="82"/>
    <x v="3"/>
    <s v="Running"/>
    <s v="Red"/>
    <s v="India"/>
    <s v="Retail Store"/>
    <n v="60.75"/>
    <n v="2"/>
    <n v="121.5"/>
    <s v="Dec"/>
    <s v="Low"/>
    <s v="Low"/>
    <n v="-3321.7"/>
    <n v="0.1"/>
    <n v="109.35000000000001"/>
  </r>
  <r>
    <x v="727"/>
    <x v="324"/>
    <x v="3"/>
    <s v="Sneakers"/>
    <s v="Red"/>
    <s v="Saudi Arabia"/>
    <s v="Retail Store"/>
    <n v="204.96"/>
    <n v="15"/>
    <n v="3074.4"/>
    <s v="Oct"/>
    <s v="High"/>
    <s v="Excellent"/>
    <n v="2952.9"/>
    <n v="0.1"/>
    <n v="2766.96"/>
  </r>
  <r>
    <x v="728"/>
    <x v="325"/>
    <x v="1"/>
    <s v="Boots"/>
    <s v="White"/>
    <s v="Germany"/>
    <s v="Retail Store"/>
    <n v="74.36"/>
    <n v="1"/>
    <n v="74.36"/>
    <s v="Nov"/>
    <s v="Low"/>
    <s v="Low"/>
    <n v="-3000.04"/>
    <n v="0.1"/>
    <n v="66.924000000000007"/>
  </r>
  <r>
    <x v="729"/>
    <x v="25"/>
    <x v="5"/>
    <s v="Running"/>
    <s v="Black"/>
    <s v="France"/>
    <s v="Mall"/>
    <n v="66"/>
    <n v="14"/>
    <n v="924"/>
    <s v="Feb"/>
    <s v="Low"/>
    <s v="Average"/>
    <n v="849.64"/>
    <n v="0.1"/>
    <n v="831.6"/>
  </r>
  <r>
    <x v="730"/>
    <x v="69"/>
    <x v="1"/>
    <s v="Boots"/>
    <s v="Grey"/>
    <s v="Saudi Arabia"/>
    <s v="Mall"/>
    <n v="66.14"/>
    <n v="1"/>
    <n v="66.14"/>
    <s v="Jun"/>
    <s v="Low"/>
    <s v="Low"/>
    <n v="-857.86"/>
    <n v="0.1"/>
    <n v="59.526000000000003"/>
  </r>
  <r>
    <x v="731"/>
    <x v="9"/>
    <x v="3"/>
    <s v="Boots"/>
    <s v="Blue"/>
    <s v="India"/>
    <s v="Mall"/>
    <n v="209.21"/>
    <n v="19"/>
    <n v="3974.99"/>
    <s v="Oct"/>
    <s v="High"/>
    <s v="Excellent"/>
    <n v="3908.85"/>
    <n v="0.1"/>
    <n v="3577.491"/>
  </r>
  <r>
    <x v="732"/>
    <x v="83"/>
    <x v="0"/>
    <s v="Formal"/>
    <s v="Green"/>
    <s v="UAE"/>
    <s v="Online"/>
    <n v="176.34"/>
    <n v="20"/>
    <n v="3526.8"/>
    <s v="Dec"/>
    <s v="High"/>
    <s v="Excellent"/>
    <n v="-448.1899999999996"/>
    <n v="0.1"/>
    <n v="3174.1200000000003"/>
  </r>
  <r>
    <x v="733"/>
    <x v="315"/>
    <x v="1"/>
    <s v="Boots"/>
    <s v="Green"/>
    <s v="Germany"/>
    <s v="Online"/>
    <n v="145.07"/>
    <n v="12"/>
    <n v="1740.84"/>
    <s v="Sep"/>
    <s v="Low"/>
    <s v="Good"/>
    <n v="-1785.9600000000003"/>
    <n v="0.1"/>
    <n v="1566.7559999999999"/>
  </r>
  <r>
    <x v="734"/>
    <x v="14"/>
    <x v="0"/>
    <s v="Running"/>
    <s v="Green"/>
    <s v="UK"/>
    <s v="Mall"/>
    <n v="108.94"/>
    <n v="20"/>
    <n v="2178.8000000000002"/>
    <s v="Oct"/>
    <s v="High"/>
    <s v="Good"/>
    <n v="437.96000000000026"/>
    <n v="0.1"/>
    <n v="1960.9200000000003"/>
  </r>
  <r>
    <x v="735"/>
    <x v="136"/>
    <x v="3"/>
    <s v="Running"/>
    <s v="Red"/>
    <s v="France"/>
    <s v="Online"/>
    <n v="222.98"/>
    <n v="16"/>
    <n v="3567.68"/>
    <s v="Aug"/>
    <s v="High"/>
    <s v="Excellent"/>
    <n v="1388.8799999999997"/>
    <n v="0.1"/>
    <n v="3210.9119999999998"/>
  </r>
  <r>
    <x v="736"/>
    <x v="92"/>
    <x v="0"/>
    <s v="Sneakers"/>
    <s v="White"/>
    <s v="India"/>
    <s v="Mall"/>
    <n v="116.34"/>
    <n v="9"/>
    <n v="1047.06"/>
    <s v="Jun"/>
    <s v="Low"/>
    <s v="Average"/>
    <n v="-2520.62"/>
    <n v="0.1"/>
    <n v="942.35399999999993"/>
  </r>
  <r>
    <x v="737"/>
    <x v="8"/>
    <x v="3"/>
    <s v="Running"/>
    <s v="Red"/>
    <s v="Germany"/>
    <s v="Mall"/>
    <n v="209.65"/>
    <n v="13"/>
    <n v="2725.45"/>
    <s v="Jul"/>
    <s v="High"/>
    <s v="Good"/>
    <n v="1678.3899999999999"/>
    <n v="0.1"/>
    <n v="2452.9049999999997"/>
  </r>
  <r>
    <x v="738"/>
    <x v="214"/>
    <x v="5"/>
    <s v="Formal"/>
    <s v="Blue"/>
    <s v="USA"/>
    <s v="Retail Store"/>
    <n v="126.61"/>
    <n v="3"/>
    <n v="379.83"/>
    <s v="Aug"/>
    <s v="Low"/>
    <s v="Low"/>
    <n v="-2345.62"/>
    <n v="0.1"/>
    <n v="341.84699999999998"/>
  </r>
  <r>
    <x v="739"/>
    <x v="307"/>
    <x v="0"/>
    <s v="Formal"/>
    <s v="Red"/>
    <s v="USA"/>
    <s v="Mall"/>
    <n v="112.93"/>
    <n v="1"/>
    <n v="112.93"/>
    <s v="Dec"/>
    <s v="Low"/>
    <s v="Low"/>
    <n v="-266.89999999999998"/>
    <n v="0.1"/>
    <n v="101.63700000000001"/>
  </r>
  <r>
    <x v="740"/>
    <x v="238"/>
    <x v="0"/>
    <s v="Sneakers"/>
    <s v="Grey"/>
    <s v="UAE"/>
    <s v="Retail Store"/>
    <n v="131.79"/>
    <n v="1"/>
    <n v="131.79"/>
    <s v="Oct"/>
    <s v="Low"/>
    <s v="Low"/>
    <n v="18.859999999999985"/>
    <n v="0.1"/>
    <n v="118.61099999999999"/>
  </r>
  <r>
    <x v="741"/>
    <x v="290"/>
    <x v="3"/>
    <s v="Boots"/>
    <s v="Green"/>
    <s v="Germany"/>
    <s v="Retail Store"/>
    <n v="96.3"/>
    <n v="18"/>
    <n v="1733.4"/>
    <s v="Sep"/>
    <s v="Low"/>
    <s v="Good"/>
    <n v="1601.6100000000001"/>
    <n v="0.1"/>
    <n v="1560.0600000000002"/>
  </r>
  <r>
    <x v="742"/>
    <x v="213"/>
    <x v="3"/>
    <s v="Formal"/>
    <s v="Blue"/>
    <s v="India"/>
    <s v="Mall"/>
    <n v="194.47"/>
    <n v="2"/>
    <n v="388.94"/>
    <s v="Jul"/>
    <s v="Low"/>
    <s v="Low"/>
    <n v="-1344.46"/>
    <n v="0.1"/>
    <n v="350.04599999999999"/>
  </r>
  <r>
    <x v="743"/>
    <x v="106"/>
    <x v="1"/>
    <s v="Boots"/>
    <s v="Blue"/>
    <s v="UAE"/>
    <s v="Retail Store"/>
    <n v="140.6"/>
    <n v="16"/>
    <n v="2249.6"/>
    <s v="Nov"/>
    <s v="High"/>
    <s v="Good"/>
    <n v="1860.6599999999999"/>
    <n v="0.1"/>
    <n v="2024.6399999999999"/>
  </r>
  <r>
    <x v="744"/>
    <x v="177"/>
    <x v="1"/>
    <s v="Casual"/>
    <s v="Black"/>
    <s v="France"/>
    <s v="Retail Store"/>
    <n v="81.09"/>
    <n v="4"/>
    <n v="324.36"/>
    <s v="Feb"/>
    <s v="Low"/>
    <s v="Low"/>
    <n v="-1925.2399999999998"/>
    <n v="0.1"/>
    <n v="291.92400000000004"/>
  </r>
  <r>
    <x v="745"/>
    <x v="79"/>
    <x v="2"/>
    <s v="Sneakers"/>
    <s v="Blue"/>
    <s v="UAE"/>
    <s v="Online"/>
    <n v="227.91"/>
    <n v="10"/>
    <n v="2279.1"/>
    <s v="Nov"/>
    <s v="High"/>
    <s v="Good"/>
    <n v="1954.7399999999998"/>
    <n v="0.1"/>
    <n v="2051.19"/>
  </r>
  <r>
    <x v="746"/>
    <x v="152"/>
    <x v="5"/>
    <s v="Casual"/>
    <s v="Green"/>
    <s v="UAE"/>
    <s v="Mall"/>
    <n v="114.46"/>
    <n v="6"/>
    <n v="686.76"/>
    <s v="Jan"/>
    <s v="Low"/>
    <s v="Average"/>
    <n v="-1592.34"/>
    <n v="0.1"/>
    <n v="618.08400000000006"/>
  </r>
  <r>
    <x v="747"/>
    <x v="169"/>
    <x v="4"/>
    <s v="Sneakers"/>
    <s v="White"/>
    <s v="UK"/>
    <s v="Online"/>
    <n v="149.58000000000001"/>
    <n v="4"/>
    <n v="598.32000000000005"/>
    <s v="Jul"/>
    <s v="Low"/>
    <s v="Average"/>
    <n v="-88.439999999999941"/>
    <n v="0.1"/>
    <n v="538.48800000000006"/>
  </r>
  <r>
    <x v="748"/>
    <x v="285"/>
    <x v="5"/>
    <s v="Casual"/>
    <s v="Green"/>
    <s v="France"/>
    <s v="Online"/>
    <n v="229.42"/>
    <n v="7"/>
    <n v="1605.94"/>
    <s v="Jul"/>
    <s v="Low"/>
    <s v="Good"/>
    <n v="1007.62"/>
    <n v="0.1"/>
    <n v="1445.346"/>
  </r>
  <r>
    <x v="749"/>
    <x v="172"/>
    <x v="1"/>
    <s v="Boots"/>
    <s v="Grey"/>
    <s v="USA"/>
    <s v="Retail Store"/>
    <n v="167.33"/>
    <n v="2"/>
    <n v="334.66"/>
    <s v="Aug"/>
    <s v="Low"/>
    <s v="Low"/>
    <n v="-1271.28"/>
    <n v="0.1"/>
    <n v="301.19400000000002"/>
  </r>
  <r>
    <x v="750"/>
    <x v="286"/>
    <x v="2"/>
    <s v="Casual"/>
    <s v="Red"/>
    <s v="USA"/>
    <s v="Mall"/>
    <n v="55.72"/>
    <n v="19"/>
    <n v="1058.68"/>
    <s v="Aug"/>
    <s v="Low"/>
    <s v="Average"/>
    <n v="724.02"/>
    <n v="0.1"/>
    <n v="952.81200000000013"/>
  </r>
  <r>
    <x v="751"/>
    <x v="222"/>
    <x v="5"/>
    <s v="Sneakers"/>
    <s v="Red"/>
    <s v="India"/>
    <s v="Online"/>
    <n v="236.76"/>
    <n v="18"/>
    <n v="4261.68"/>
    <s v="Jan"/>
    <s v="High"/>
    <s v="Excellent"/>
    <n v="3203"/>
    <n v="0.1"/>
    <n v="3835.5120000000002"/>
  </r>
  <r>
    <x v="752"/>
    <x v="117"/>
    <x v="3"/>
    <s v="Boots"/>
    <s v="White"/>
    <s v="USA"/>
    <s v="Retail Store"/>
    <n v="168.1"/>
    <n v="19"/>
    <n v="3193.9"/>
    <s v="Dec"/>
    <s v="High"/>
    <s v="Excellent"/>
    <n v="-1067.7800000000002"/>
    <n v="0.1"/>
    <n v="2874.51"/>
  </r>
  <r>
    <x v="753"/>
    <x v="139"/>
    <x v="2"/>
    <s v="Sports"/>
    <s v="Grey"/>
    <s v="Germany"/>
    <s v="Retail Store"/>
    <n v="103.68"/>
    <n v="20"/>
    <n v="2073.6"/>
    <s v="Dec"/>
    <s v="High"/>
    <s v="Good"/>
    <n v="-1120.3000000000002"/>
    <n v="0.1"/>
    <n v="1866.24"/>
  </r>
  <r>
    <x v="754"/>
    <x v="326"/>
    <x v="4"/>
    <s v="Formal"/>
    <s v="Blue"/>
    <s v="France"/>
    <s v="Retail Store"/>
    <n v="60.64"/>
    <n v="8"/>
    <n v="485.12"/>
    <s v="Nov"/>
    <s v="Low"/>
    <s v="Low"/>
    <n v="-1588.48"/>
    <n v="0.1"/>
    <n v="436.608"/>
  </r>
  <r>
    <x v="755"/>
    <x v="296"/>
    <x v="5"/>
    <s v="Sneakers"/>
    <s v="Green"/>
    <s v="UAE"/>
    <s v="Mall"/>
    <n v="204.69"/>
    <n v="5"/>
    <n v="1023.45"/>
    <s v="Mar"/>
    <s v="Low"/>
    <s v="Average"/>
    <n v="538.33000000000004"/>
    <n v="0.1"/>
    <n v="921.10500000000002"/>
  </r>
  <r>
    <x v="756"/>
    <x v="157"/>
    <x v="4"/>
    <s v="Boots"/>
    <s v="Green"/>
    <s v="India"/>
    <s v="Mall"/>
    <n v="166.42"/>
    <n v="18"/>
    <n v="2995.56"/>
    <s v="Jun"/>
    <s v="High"/>
    <s v="Good"/>
    <n v="1972.11"/>
    <n v="0.1"/>
    <n v="2696.0039999999999"/>
  </r>
  <r>
    <x v="757"/>
    <x v="314"/>
    <x v="3"/>
    <s v="Sneakers"/>
    <s v="Green"/>
    <s v="France"/>
    <s v="Mall"/>
    <n v="147.36000000000001"/>
    <n v="7"/>
    <n v="1031.52"/>
    <s v="Apr"/>
    <s v="Low"/>
    <s v="Average"/>
    <n v="-1964.04"/>
    <n v="0.1"/>
    <n v="928.36800000000005"/>
  </r>
  <r>
    <x v="758"/>
    <x v="220"/>
    <x v="1"/>
    <s v="Boots"/>
    <s v="White"/>
    <s v="India"/>
    <s v="Mall"/>
    <n v="226.66"/>
    <n v="5"/>
    <n v="1133.3"/>
    <s v="Jun"/>
    <s v="Low"/>
    <s v="Average"/>
    <n v="101.77999999999997"/>
    <n v="0.1"/>
    <n v="1019.97"/>
  </r>
  <r>
    <x v="759"/>
    <x v="91"/>
    <x v="1"/>
    <s v="Running"/>
    <s v="Blue"/>
    <s v="India"/>
    <s v="Retail Store"/>
    <n v="203.49"/>
    <n v="11"/>
    <n v="2238.39"/>
    <s v="Dec"/>
    <s v="High"/>
    <s v="Good"/>
    <n v="1105.0899999999999"/>
    <n v="0.1"/>
    <n v="2014.5509999999999"/>
  </r>
  <r>
    <x v="760"/>
    <x v="241"/>
    <x v="1"/>
    <s v="Boots"/>
    <s v="Red"/>
    <s v="UAE"/>
    <s v="Mall"/>
    <n v="63.37"/>
    <n v="19"/>
    <n v="1204.03"/>
    <s v="Oct"/>
    <s v="Low"/>
    <s v="Average"/>
    <n v="-1034.3599999999999"/>
    <n v="0.1"/>
    <n v="1083.627"/>
  </r>
  <r>
    <x v="761"/>
    <x v="123"/>
    <x v="5"/>
    <s v="Running"/>
    <s v="Grey"/>
    <s v="USA"/>
    <s v="Online"/>
    <n v="98.58"/>
    <n v="10"/>
    <n v="985.8"/>
    <s v="Oct"/>
    <s v="Low"/>
    <s v="Average"/>
    <n v="-218.23000000000002"/>
    <n v="0.1"/>
    <n v="887.22"/>
  </r>
  <r>
    <x v="762"/>
    <x v="20"/>
    <x v="0"/>
    <s v="Boots"/>
    <s v="Black"/>
    <s v="UK"/>
    <s v="Retail Store"/>
    <n v="84.67"/>
    <n v="5"/>
    <n v="423.35"/>
    <s v="Jul"/>
    <s v="Low"/>
    <s v="Low"/>
    <n v="-562.44999999999993"/>
    <n v="0.1"/>
    <n v="381.01500000000004"/>
  </r>
  <r>
    <x v="763"/>
    <x v="216"/>
    <x v="1"/>
    <s v="Sports"/>
    <s v="White"/>
    <s v="Saudi Arabia"/>
    <s v="Online"/>
    <n v="193.67"/>
    <n v="10"/>
    <n v="1936.7"/>
    <s v="Mar"/>
    <s v="Low"/>
    <s v="Good"/>
    <n v="1513.35"/>
    <n v="0.1"/>
    <n v="1743.03"/>
  </r>
  <r>
    <x v="764"/>
    <x v="29"/>
    <x v="3"/>
    <s v="Sneakers"/>
    <s v="Black"/>
    <s v="France"/>
    <s v="Retail Store"/>
    <n v="37.380000000000003"/>
    <n v="10"/>
    <n v="373.8"/>
    <s v="Dec"/>
    <s v="Low"/>
    <s v="Low"/>
    <n v="-1562.9"/>
    <n v="0.1"/>
    <n v="336.42"/>
  </r>
  <r>
    <x v="765"/>
    <x v="6"/>
    <x v="1"/>
    <s v="Boots"/>
    <s v="Grey"/>
    <s v="Saudi Arabia"/>
    <s v="Online"/>
    <n v="155.38"/>
    <n v="20"/>
    <n v="3107.6"/>
    <s v="Feb"/>
    <s v="High"/>
    <s v="Excellent"/>
    <n v="2733.7999999999997"/>
    <n v="0.1"/>
    <n v="2796.84"/>
  </r>
  <r>
    <x v="766"/>
    <x v="206"/>
    <x v="5"/>
    <s v="Casual"/>
    <s v="Grey"/>
    <s v="Saudi Arabia"/>
    <s v="Mall"/>
    <n v="197.74"/>
    <n v="18"/>
    <n v="3559.32"/>
    <s v="Nov"/>
    <s v="High"/>
    <s v="Excellent"/>
    <n v="451.72000000000025"/>
    <n v="0.1"/>
    <n v="3203.3880000000004"/>
  </r>
  <r>
    <x v="767"/>
    <x v="138"/>
    <x v="5"/>
    <s v="Formal"/>
    <s v="Red"/>
    <s v="Saudi Arabia"/>
    <s v="Mall"/>
    <n v="222.89"/>
    <n v="2"/>
    <n v="445.78"/>
    <s v="May"/>
    <s v="Low"/>
    <s v="Low"/>
    <n v="-3113.54"/>
    <n v="0.1"/>
    <n v="401.202"/>
  </r>
  <r>
    <x v="768"/>
    <x v="69"/>
    <x v="0"/>
    <s v="Running"/>
    <s v="Green"/>
    <s v="France"/>
    <s v="Online"/>
    <n v="105.26"/>
    <n v="18"/>
    <n v="1894.68"/>
    <s v="Jun"/>
    <s v="Low"/>
    <s v="Good"/>
    <n v="1448.9"/>
    <n v="0.1"/>
    <n v="1705.212"/>
  </r>
  <r>
    <x v="769"/>
    <x v="48"/>
    <x v="3"/>
    <s v="Boots"/>
    <s v="Green"/>
    <s v="UAE"/>
    <s v="Mall"/>
    <n v="210.68"/>
    <n v="15"/>
    <n v="3160.2"/>
    <s v="Nov"/>
    <s v="High"/>
    <s v="Excellent"/>
    <n v="1265.5199999999998"/>
    <n v="0.1"/>
    <n v="2844.18"/>
  </r>
  <r>
    <x v="770"/>
    <x v="103"/>
    <x v="2"/>
    <s v="Boots"/>
    <s v="Grey"/>
    <s v="UK"/>
    <s v="Mall"/>
    <n v="54.34"/>
    <n v="19"/>
    <n v="1032.46"/>
    <s v="Jul"/>
    <s v="Low"/>
    <s v="Average"/>
    <n v="-2127.7399999999998"/>
    <n v="0.1"/>
    <n v="929.21400000000006"/>
  </r>
  <r>
    <x v="771"/>
    <x v="215"/>
    <x v="5"/>
    <s v="Casual"/>
    <s v="Green"/>
    <s v="USA"/>
    <s v="Online"/>
    <n v="216.22"/>
    <n v="10"/>
    <n v="2162.1999999999998"/>
    <s v="Apr"/>
    <s v="High"/>
    <s v="Good"/>
    <n v="1129.7399999999998"/>
    <n v="0.1"/>
    <n v="1945.9799999999998"/>
  </r>
  <r>
    <x v="772"/>
    <x v="313"/>
    <x v="0"/>
    <s v="Formal"/>
    <s v="Black"/>
    <s v="Germany"/>
    <s v="Retail Store"/>
    <n v="58.05"/>
    <n v="17"/>
    <n v="986.85"/>
    <s v="Mar"/>
    <s v="Low"/>
    <s v="Average"/>
    <n v="-1175.3499999999999"/>
    <n v="0.1"/>
    <n v="888.16500000000008"/>
  </r>
  <r>
    <x v="773"/>
    <x v="327"/>
    <x v="3"/>
    <s v="Casual"/>
    <s v="Grey"/>
    <s v="Saudi Arabia"/>
    <s v="Retail Store"/>
    <n v="117.4"/>
    <n v="9"/>
    <n v="1056.5999999999999"/>
    <s v="Oct"/>
    <s v="Low"/>
    <s v="Average"/>
    <n v="69.749999999999886"/>
    <n v="0.1"/>
    <n v="950.93999999999994"/>
  </r>
  <r>
    <x v="774"/>
    <x v="247"/>
    <x v="5"/>
    <s v="Boots"/>
    <s v="White"/>
    <s v="USA"/>
    <s v="Online"/>
    <n v="205.4"/>
    <n v="11"/>
    <n v="2259.4"/>
    <s v="Jan"/>
    <s v="High"/>
    <s v="Good"/>
    <n v="1202.8000000000002"/>
    <n v="0.1"/>
    <n v="2033.46"/>
  </r>
  <r>
    <x v="775"/>
    <x v="198"/>
    <x v="0"/>
    <s v="Boots"/>
    <s v="Grey"/>
    <s v="Saudi Arabia"/>
    <s v="Mall"/>
    <n v="62.98"/>
    <n v="20"/>
    <n v="1259.5999999999999"/>
    <s v="Jun"/>
    <s v="Low"/>
    <s v="Average"/>
    <n v="-999.80000000000018"/>
    <n v="0.1"/>
    <n v="1133.6399999999999"/>
  </r>
  <r>
    <x v="776"/>
    <x v="328"/>
    <x v="2"/>
    <s v="Sneakers"/>
    <s v="Blue"/>
    <s v="USA"/>
    <s v="Mall"/>
    <n v="80.44"/>
    <n v="16"/>
    <n v="1287.04"/>
    <s v="Jun"/>
    <s v="Low"/>
    <s v="Average"/>
    <n v="27.440000000000055"/>
    <n v="0.1"/>
    <n v="1158.336"/>
  </r>
  <r>
    <x v="777"/>
    <x v="86"/>
    <x v="3"/>
    <s v="Casual"/>
    <s v="Grey"/>
    <s v="USA"/>
    <s v="Mall"/>
    <n v="188.9"/>
    <n v="17"/>
    <n v="3211.3"/>
    <s v="Jun"/>
    <s v="High"/>
    <s v="Excellent"/>
    <n v="1924.2600000000002"/>
    <n v="0.1"/>
    <n v="2890.17"/>
  </r>
  <r>
    <x v="778"/>
    <x v="5"/>
    <x v="2"/>
    <s v="Sneakers"/>
    <s v="Red"/>
    <s v="USA"/>
    <s v="Retail Store"/>
    <n v="188.41"/>
    <n v="14"/>
    <n v="2637.74"/>
    <s v="Mar"/>
    <s v="High"/>
    <s v="Good"/>
    <n v="-573.5600000000004"/>
    <n v="0.1"/>
    <n v="2373.9659999999999"/>
  </r>
  <r>
    <x v="779"/>
    <x v="168"/>
    <x v="1"/>
    <s v="Sports"/>
    <s v="Blue"/>
    <s v="France"/>
    <s v="Retail Store"/>
    <n v="171.05"/>
    <n v="7"/>
    <n v="1197.3499999999999"/>
    <s v="Apr"/>
    <s v="Low"/>
    <s v="Average"/>
    <n v="-1440.3899999999999"/>
    <n v="0.1"/>
    <n v="1077.615"/>
  </r>
  <r>
    <x v="780"/>
    <x v="314"/>
    <x v="2"/>
    <s v="Formal"/>
    <s v="Grey"/>
    <s v="Saudi Arabia"/>
    <s v="Mall"/>
    <n v="182.67"/>
    <n v="20"/>
    <n v="3653.4"/>
    <s v="Apr"/>
    <s v="High"/>
    <s v="Excellent"/>
    <n v="2456.0500000000002"/>
    <n v="0.1"/>
    <n v="3288.06"/>
  </r>
  <r>
    <x v="781"/>
    <x v="323"/>
    <x v="1"/>
    <s v="Sports"/>
    <s v="Red"/>
    <s v="UK"/>
    <s v="Mall"/>
    <n v="149.4"/>
    <n v="4"/>
    <n v="597.6"/>
    <s v="Jan"/>
    <s v="Low"/>
    <s v="Average"/>
    <n v="-3055.8"/>
    <n v="0.1"/>
    <n v="537.84"/>
  </r>
  <r>
    <x v="782"/>
    <x v="253"/>
    <x v="3"/>
    <s v="Running"/>
    <s v="Green"/>
    <s v="France"/>
    <s v="Retail Store"/>
    <n v="85.4"/>
    <n v="20"/>
    <n v="1708"/>
    <s v="Nov"/>
    <s v="Low"/>
    <s v="Good"/>
    <n v="1110.4000000000001"/>
    <n v="0.1"/>
    <n v="1537.2"/>
  </r>
  <r>
    <x v="783"/>
    <x v="177"/>
    <x v="4"/>
    <s v="Sneakers"/>
    <s v="Green"/>
    <s v="France"/>
    <s v="Online"/>
    <n v="106.05"/>
    <n v="13"/>
    <n v="1378.65"/>
    <s v="Feb"/>
    <s v="Low"/>
    <s v="Average"/>
    <n v="-329.34999999999991"/>
    <n v="0.1"/>
    <n v="1240.7850000000001"/>
  </r>
  <r>
    <x v="784"/>
    <x v="329"/>
    <x v="2"/>
    <s v="Sneakers"/>
    <s v="Red"/>
    <s v="Germany"/>
    <s v="Online"/>
    <n v="69.95"/>
    <n v="12"/>
    <n v="839.4"/>
    <s v="Sep"/>
    <s v="Low"/>
    <s v="Average"/>
    <n v="-539.25000000000011"/>
    <n v="0.1"/>
    <n v="755.46"/>
  </r>
  <r>
    <x v="785"/>
    <x v="122"/>
    <x v="4"/>
    <s v="Sneakers"/>
    <s v="Black"/>
    <s v="USA"/>
    <s v="Online"/>
    <n v="229.86"/>
    <n v="7"/>
    <n v="1609.02"/>
    <s v="Jun"/>
    <s v="Low"/>
    <s v="Good"/>
    <n v="769.62"/>
    <n v="0.1"/>
    <n v="1448.1179999999999"/>
  </r>
  <r>
    <x v="786"/>
    <x v="71"/>
    <x v="0"/>
    <s v="Boots"/>
    <s v="Black"/>
    <s v="UK"/>
    <s v="Mall"/>
    <n v="158.35"/>
    <n v="18"/>
    <n v="2850.3"/>
    <s v="Oct"/>
    <s v="High"/>
    <s v="Good"/>
    <n v="1241.2800000000002"/>
    <n v="0.1"/>
    <n v="2565.2700000000004"/>
  </r>
  <r>
    <x v="787"/>
    <x v="301"/>
    <x v="1"/>
    <s v="Formal"/>
    <s v="Black"/>
    <s v="UK"/>
    <s v="Mall"/>
    <n v="118.19"/>
    <n v="7"/>
    <n v="827.33"/>
    <s v="Nov"/>
    <s v="Low"/>
    <s v="Average"/>
    <n v="-2022.9700000000003"/>
    <n v="0.1"/>
    <n v="744.59700000000009"/>
  </r>
  <r>
    <x v="788"/>
    <x v="330"/>
    <x v="1"/>
    <s v="Running"/>
    <s v="Green"/>
    <s v="UAE"/>
    <s v="Online"/>
    <n v="131.63999999999999"/>
    <n v="14"/>
    <n v="1842.96"/>
    <s v="Dec"/>
    <s v="Low"/>
    <s v="Good"/>
    <n v="1015.63"/>
    <n v="0.1"/>
    <n v="1658.664"/>
  </r>
  <r>
    <x v="789"/>
    <x v="331"/>
    <x v="1"/>
    <s v="Sports"/>
    <s v="Black"/>
    <s v="USA"/>
    <s v="Online"/>
    <n v="238.4"/>
    <n v="15"/>
    <n v="3576"/>
    <s v="Jan"/>
    <s v="High"/>
    <s v="Excellent"/>
    <n v="1733.04"/>
    <n v="0.1"/>
    <n v="3218.4"/>
  </r>
  <r>
    <x v="790"/>
    <x v="36"/>
    <x v="4"/>
    <s v="Sneakers"/>
    <s v="Black"/>
    <s v="India"/>
    <s v="Online"/>
    <n v="63.74"/>
    <n v="6"/>
    <n v="382.44"/>
    <s v="Jan"/>
    <s v="Low"/>
    <s v="Low"/>
    <n v="-3193.56"/>
    <n v="0.1"/>
    <n v="344.19600000000003"/>
  </r>
  <r>
    <x v="791"/>
    <x v="113"/>
    <x v="5"/>
    <s v="Formal"/>
    <s v="Green"/>
    <s v="Germany"/>
    <s v="Retail Store"/>
    <n v="158.97"/>
    <n v="14"/>
    <n v="2225.58"/>
    <s v="May"/>
    <s v="High"/>
    <s v="Good"/>
    <n v="1843.1399999999999"/>
    <n v="0.1"/>
    <n v="2003.0219999999999"/>
  </r>
  <r>
    <x v="792"/>
    <x v="15"/>
    <x v="5"/>
    <s v="Boots"/>
    <s v="Black"/>
    <s v="India"/>
    <s v="Online"/>
    <n v="141.30000000000001"/>
    <n v="1"/>
    <n v="141.30000000000001"/>
    <s v="Jun"/>
    <s v="Low"/>
    <s v="Low"/>
    <n v="-2084.2799999999997"/>
    <n v="0.1"/>
    <n v="127.17000000000002"/>
  </r>
  <r>
    <x v="793"/>
    <x v="174"/>
    <x v="0"/>
    <s v="Boots"/>
    <s v="Grey"/>
    <s v="USA"/>
    <s v="Mall"/>
    <n v="164.52"/>
    <n v="20"/>
    <n v="3290.4"/>
    <s v="Nov"/>
    <s v="High"/>
    <s v="Excellent"/>
    <n v="3149.1"/>
    <n v="0.1"/>
    <n v="2961.36"/>
  </r>
  <r>
    <x v="794"/>
    <x v="50"/>
    <x v="2"/>
    <s v="Running"/>
    <s v="Blue"/>
    <s v="Saudi Arabia"/>
    <s v="Mall"/>
    <n v="33.979999999999997"/>
    <n v="12"/>
    <n v="407.76"/>
    <s v="Feb"/>
    <s v="Low"/>
    <s v="Low"/>
    <n v="-2882.6400000000003"/>
    <n v="0.1"/>
    <n v="366.98399999999998"/>
  </r>
  <r>
    <x v="795"/>
    <x v="328"/>
    <x v="0"/>
    <s v="Sports"/>
    <s v="Red"/>
    <s v="Germany"/>
    <s v="Retail Store"/>
    <n v="221.87"/>
    <n v="20"/>
    <n v="4437.3999999999996"/>
    <s v="Jun"/>
    <s v="High"/>
    <s v="Excellent"/>
    <n v="4029.6399999999994"/>
    <n v="0.1"/>
    <n v="3993.66"/>
  </r>
  <r>
    <x v="796"/>
    <x v="107"/>
    <x v="5"/>
    <s v="Casual"/>
    <s v="Grey"/>
    <s v="UK"/>
    <s v="Online"/>
    <n v="235.07"/>
    <n v="1"/>
    <n v="235.07"/>
    <s v="Dec"/>
    <s v="Low"/>
    <s v="Low"/>
    <n v="-4202.33"/>
    <n v="0.1"/>
    <n v="211.56299999999999"/>
  </r>
  <r>
    <x v="797"/>
    <x v="291"/>
    <x v="4"/>
    <s v="Boots"/>
    <s v="White"/>
    <s v="France"/>
    <s v="Mall"/>
    <n v="154.33000000000001"/>
    <n v="18"/>
    <n v="2777.94"/>
    <s v="Jul"/>
    <s v="High"/>
    <s v="Good"/>
    <n v="2542.87"/>
    <n v="0.1"/>
    <n v="2500.1460000000002"/>
  </r>
  <r>
    <x v="798"/>
    <x v="206"/>
    <x v="0"/>
    <s v="Sneakers"/>
    <s v="Grey"/>
    <s v="UK"/>
    <s v="Online"/>
    <n v="183.26"/>
    <n v="12"/>
    <n v="2199.12"/>
    <s v="Nov"/>
    <s v="High"/>
    <s v="Good"/>
    <n v="-578.82000000000016"/>
    <n v="0.1"/>
    <n v="1979.2079999999999"/>
  </r>
  <r>
    <x v="799"/>
    <x v="221"/>
    <x v="2"/>
    <s v="Sneakers"/>
    <s v="Red"/>
    <s v="India"/>
    <s v="Mall"/>
    <n v="232.95"/>
    <n v="1"/>
    <n v="232.95"/>
    <s v="Jan"/>
    <s v="Low"/>
    <s v="Low"/>
    <n v="-1966.1699999999998"/>
    <n v="0.1"/>
    <n v="209.655"/>
  </r>
  <r>
    <x v="800"/>
    <x v="275"/>
    <x v="3"/>
    <s v="Boots"/>
    <s v="Green"/>
    <s v="UAE"/>
    <s v="Retail Store"/>
    <n v="185.59"/>
    <n v="10"/>
    <n v="1855.9"/>
    <s v="Feb"/>
    <s v="Low"/>
    <s v="Good"/>
    <n v="1622.95"/>
    <n v="0.1"/>
    <n v="1670.3100000000002"/>
  </r>
  <r>
    <x v="801"/>
    <x v="99"/>
    <x v="1"/>
    <s v="Sneakers"/>
    <s v="White"/>
    <s v="UK"/>
    <s v="Online"/>
    <n v="63.56"/>
    <n v="14"/>
    <n v="889.84"/>
    <s v="Apr"/>
    <s v="Low"/>
    <s v="Average"/>
    <n v="-966.06000000000006"/>
    <n v="0.1"/>
    <n v="800.85599999999999"/>
  </r>
  <r>
    <x v="802"/>
    <x v="168"/>
    <x v="4"/>
    <s v="Casual"/>
    <s v="Black"/>
    <s v="UK"/>
    <s v="Mall"/>
    <n v="156.78"/>
    <n v="20"/>
    <n v="3135.6"/>
    <s v="Apr"/>
    <s v="High"/>
    <s v="Excellent"/>
    <n v="2245.7599999999998"/>
    <n v="0.1"/>
    <n v="2822.04"/>
  </r>
  <r>
    <x v="803"/>
    <x v="305"/>
    <x v="2"/>
    <s v="Formal"/>
    <s v="Green"/>
    <s v="India"/>
    <s v="Online"/>
    <n v="163.47999999999999"/>
    <n v="2"/>
    <n v="326.95999999999998"/>
    <s v="Oct"/>
    <s v="Low"/>
    <s v="Low"/>
    <n v="-2808.64"/>
    <n v="0.1"/>
    <n v="294.26400000000001"/>
  </r>
  <r>
    <x v="804"/>
    <x v="10"/>
    <x v="4"/>
    <s v="Running"/>
    <s v="White"/>
    <s v="UAE"/>
    <s v="Mall"/>
    <n v="123.31"/>
    <n v="3"/>
    <n v="369.93"/>
    <s v="May"/>
    <s v="Low"/>
    <s v="Low"/>
    <n v="42.970000000000027"/>
    <n v="0.1"/>
    <n v="332.93700000000001"/>
  </r>
  <r>
    <x v="805"/>
    <x v="43"/>
    <x v="4"/>
    <s v="Casual"/>
    <s v="Green"/>
    <s v="UAE"/>
    <s v="Online"/>
    <n v="192.02"/>
    <n v="11"/>
    <n v="2112.2199999999998"/>
    <s v="Sep"/>
    <s v="High"/>
    <s v="Good"/>
    <n v="1742.2899999999997"/>
    <n v="0.1"/>
    <n v="1900.9979999999998"/>
  </r>
  <r>
    <x v="806"/>
    <x v="210"/>
    <x v="2"/>
    <s v="Running"/>
    <s v="White"/>
    <s v="France"/>
    <s v="Retail Store"/>
    <n v="235.56"/>
    <n v="10"/>
    <n v="2355.6"/>
    <s v="Feb"/>
    <s v="High"/>
    <s v="Good"/>
    <n v="243.38000000000011"/>
    <n v="0.1"/>
    <n v="2120.04"/>
  </r>
  <r>
    <x v="807"/>
    <x v="230"/>
    <x v="2"/>
    <s v="Boots"/>
    <s v="Blue"/>
    <s v="UAE"/>
    <s v="Mall"/>
    <n v="233.63"/>
    <n v="11"/>
    <n v="2569.9299999999998"/>
    <s v="Aug"/>
    <s v="High"/>
    <s v="Good"/>
    <n v="214.32999999999993"/>
    <n v="0.1"/>
    <n v="2312.9369999999999"/>
  </r>
  <r>
    <x v="808"/>
    <x v="19"/>
    <x v="2"/>
    <s v="Sports"/>
    <s v="Blue"/>
    <s v="Germany"/>
    <s v="Online"/>
    <n v="129.18"/>
    <n v="19"/>
    <n v="2454.42"/>
    <s v="Mar"/>
    <s v="High"/>
    <s v="Good"/>
    <n v="-115.50999999999976"/>
    <n v="0.1"/>
    <n v="2208.9780000000001"/>
  </r>
  <r>
    <x v="809"/>
    <x v="247"/>
    <x v="3"/>
    <s v="Casual"/>
    <s v="Green"/>
    <s v="UAE"/>
    <s v="Mall"/>
    <n v="54.91"/>
    <n v="11"/>
    <n v="604.01"/>
    <s v="Jan"/>
    <s v="Low"/>
    <s v="Average"/>
    <n v="-1850.41"/>
    <n v="0.1"/>
    <n v="543.60900000000004"/>
  </r>
  <r>
    <x v="810"/>
    <x v="137"/>
    <x v="4"/>
    <s v="Casual"/>
    <s v="Green"/>
    <s v="UAE"/>
    <s v="Retail Store"/>
    <n v="246.67"/>
    <n v="9"/>
    <n v="2220.0300000000002"/>
    <s v="Aug"/>
    <s v="High"/>
    <s v="Good"/>
    <n v="1616.0200000000002"/>
    <n v="0.1"/>
    <n v="1998.0270000000003"/>
  </r>
  <r>
    <x v="811"/>
    <x v="180"/>
    <x v="5"/>
    <s v="Sports"/>
    <s v="Blue"/>
    <s v="Germany"/>
    <s v="Mall"/>
    <n v="214.56"/>
    <n v="15"/>
    <n v="3218.4"/>
    <s v="Sep"/>
    <s v="High"/>
    <s v="Excellent"/>
    <n v="998.36999999999989"/>
    <n v="0.1"/>
    <n v="2896.56"/>
  </r>
  <r>
    <x v="812"/>
    <x v="178"/>
    <x v="1"/>
    <s v="Sneakers"/>
    <s v="Black"/>
    <s v="Saudi Arabia"/>
    <s v="Retail Store"/>
    <n v="57.43"/>
    <n v="6"/>
    <n v="344.58"/>
    <s v="Feb"/>
    <s v="Low"/>
    <s v="Low"/>
    <n v="-2873.82"/>
    <n v="0.1"/>
    <n v="310.12200000000001"/>
  </r>
  <r>
    <x v="813"/>
    <x v="1"/>
    <x v="3"/>
    <s v="Sports"/>
    <s v="Green"/>
    <s v="UAE"/>
    <s v="Online"/>
    <n v="232.59"/>
    <n v="18"/>
    <n v="4186.62"/>
    <s v="Mar"/>
    <s v="High"/>
    <s v="Excellent"/>
    <n v="3842.04"/>
    <n v="0.1"/>
    <n v="3767.9580000000001"/>
  </r>
  <r>
    <x v="814"/>
    <x v="59"/>
    <x v="2"/>
    <s v="Boots"/>
    <s v="Black"/>
    <s v="Saudi Arabia"/>
    <s v="Mall"/>
    <n v="221.38"/>
    <n v="1"/>
    <n v="221.38"/>
    <s v="Feb"/>
    <s v="Low"/>
    <s v="Low"/>
    <n v="-3965.24"/>
    <n v="0.1"/>
    <n v="199.24199999999999"/>
  </r>
  <r>
    <x v="815"/>
    <x v="197"/>
    <x v="2"/>
    <s v="Casual"/>
    <s v="Black"/>
    <s v="India"/>
    <s v="Retail Store"/>
    <n v="144.13999999999999"/>
    <n v="13"/>
    <n v="1873.82"/>
    <s v="Oct"/>
    <s v="Low"/>
    <s v="Good"/>
    <n v="1652.44"/>
    <n v="0.1"/>
    <n v="1686.4379999999999"/>
  </r>
  <r>
    <x v="816"/>
    <x v="258"/>
    <x v="5"/>
    <s v="Boots"/>
    <s v="White"/>
    <s v="France"/>
    <s v="Retail Store"/>
    <n v="160.08000000000001"/>
    <n v="18"/>
    <n v="2881.44"/>
    <s v="Oct"/>
    <s v="High"/>
    <s v="Good"/>
    <n v="1007.6200000000001"/>
    <n v="0.1"/>
    <n v="2593.2960000000003"/>
  </r>
  <r>
    <x v="817"/>
    <x v="217"/>
    <x v="1"/>
    <s v="Sports"/>
    <s v="White"/>
    <s v="Germany"/>
    <s v="Mall"/>
    <n v="117.78"/>
    <n v="19"/>
    <n v="2237.8200000000002"/>
    <s v="Apr"/>
    <s v="High"/>
    <s v="Good"/>
    <n v="-643.61999999999989"/>
    <n v="0.1"/>
    <n v="2014.0380000000002"/>
  </r>
  <r>
    <x v="818"/>
    <x v="332"/>
    <x v="5"/>
    <s v="Sports"/>
    <s v="Grey"/>
    <s v="USA"/>
    <s v="Mall"/>
    <n v="42.05"/>
    <n v="3"/>
    <n v="126.15"/>
    <s v="Sep"/>
    <s v="Low"/>
    <s v="Low"/>
    <n v="-2111.67"/>
    <n v="0.1"/>
    <n v="113.53500000000001"/>
  </r>
  <r>
    <x v="819"/>
    <x v="219"/>
    <x v="1"/>
    <s v="Casual"/>
    <s v="Grey"/>
    <s v="UK"/>
    <s v="Retail Store"/>
    <n v="103.74"/>
    <n v="20"/>
    <n v="2074.8000000000002"/>
    <s v="May"/>
    <s v="High"/>
    <s v="Good"/>
    <n v="1948.65"/>
    <n v="0.1"/>
    <n v="1867.3200000000002"/>
  </r>
  <r>
    <x v="820"/>
    <x v="5"/>
    <x v="2"/>
    <s v="Sneakers"/>
    <s v="Green"/>
    <s v="Saudi Arabia"/>
    <s v="Online"/>
    <n v="206.63"/>
    <n v="6"/>
    <n v="1239.78"/>
    <s v="Mar"/>
    <s v="Low"/>
    <s v="Average"/>
    <n v="-835.02000000000021"/>
    <n v="0.1"/>
    <n v="1115.8019999999999"/>
  </r>
  <r>
    <x v="821"/>
    <x v="147"/>
    <x v="0"/>
    <s v="Casual"/>
    <s v="Red"/>
    <s v="UK"/>
    <s v="Online"/>
    <n v="31.02"/>
    <n v="12"/>
    <n v="372.24"/>
    <s v="Sep"/>
    <s v="Low"/>
    <s v="Low"/>
    <n v="-867.54"/>
    <n v="0.1"/>
    <n v="335.01600000000002"/>
  </r>
  <r>
    <x v="822"/>
    <x v="49"/>
    <x v="3"/>
    <s v="Running"/>
    <s v="Green"/>
    <s v="UK"/>
    <s v="Mall"/>
    <n v="103.37"/>
    <n v="12"/>
    <n v="1240.44"/>
    <s v="May"/>
    <s v="Low"/>
    <s v="Average"/>
    <n v="868.2"/>
    <n v="0.1"/>
    <n v="1116.3960000000002"/>
  </r>
  <r>
    <x v="823"/>
    <x v="280"/>
    <x v="5"/>
    <s v="Formal"/>
    <s v="Black"/>
    <s v="USA"/>
    <s v="Mall"/>
    <n v="117.6"/>
    <n v="13"/>
    <n v="1528.8"/>
    <s v="Jul"/>
    <s v="Low"/>
    <s v="Good"/>
    <n v="288.3599999999999"/>
    <n v="0.1"/>
    <n v="1375.92"/>
  </r>
  <r>
    <x v="824"/>
    <x v="198"/>
    <x v="1"/>
    <s v="Sneakers"/>
    <s v="Green"/>
    <s v="Saudi Arabia"/>
    <s v="Retail Store"/>
    <n v="148.22999999999999"/>
    <n v="4"/>
    <n v="592.91999999999996"/>
    <s v="Jun"/>
    <s v="Low"/>
    <s v="Average"/>
    <n v="-935.88"/>
    <n v="0.1"/>
    <n v="533.62799999999993"/>
  </r>
  <r>
    <x v="825"/>
    <x v="17"/>
    <x v="2"/>
    <s v="Sneakers"/>
    <s v="White"/>
    <s v="Germany"/>
    <s v="Mall"/>
    <n v="232.37"/>
    <n v="19"/>
    <n v="4415.03"/>
    <s v="May"/>
    <s v="High"/>
    <s v="Excellent"/>
    <n v="3822.1099999999997"/>
    <n v="0.1"/>
    <n v="3973.527"/>
  </r>
  <r>
    <x v="826"/>
    <x v="8"/>
    <x v="2"/>
    <s v="Boots"/>
    <s v="Black"/>
    <s v="India"/>
    <s v="Retail Store"/>
    <n v="106.2"/>
    <n v="12"/>
    <n v="1274.4000000000001"/>
    <s v="Jul"/>
    <s v="Low"/>
    <s v="Average"/>
    <n v="-3140.6299999999997"/>
    <n v="0.1"/>
    <n v="1146.96"/>
  </r>
  <r>
    <x v="827"/>
    <x v="257"/>
    <x v="2"/>
    <s v="Formal"/>
    <s v="Blue"/>
    <s v="Saudi Arabia"/>
    <s v="Retail Store"/>
    <n v="106.33"/>
    <n v="8"/>
    <n v="850.64"/>
    <s v="Jul"/>
    <s v="Low"/>
    <s v="Average"/>
    <n v="-423.7600000000001"/>
    <n v="0.1"/>
    <n v="765.57600000000002"/>
  </r>
  <r>
    <x v="828"/>
    <x v="43"/>
    <x v="2"/>
    <s v="Running"/>
    <s v="Grey"/>
    <s v="UK"/>
    <s v="Retail Store"/>
    <n v="192.25"/>
    <n v="16"/>
    <n v="3076"/>
    <s v="Sep"/>
    <s v="High"/>
    <s v="Excellent"/>
    <n v="2225.36"/>
    <n v="0.1"/>
    <n v="2768.4"/>
  </r>
  <r>
    <x v="829"/>
    <x v="96"/>
    <x v="0"/>
    <s v="Sneakers"/>
    <s v="Green"/>
    <s v="France"/>
    <s v="Online"/>
    <n v="129.49"/>
    <n v="8"/>
    <n v="1035.92"/>
    <s v="Mar"/>
    <s v="Low"/>
    <s v="Average"/>
    <n v="-2040.08"/>
    <n v="0.1"/>
    <n v="932.32800000000009"/>
  </r>
  <r>
    <x v="830"/>
    <x v="132"/>
    <x v="3"/>
    <s v="Sports"/>
    <s v="Grey"/>
    <s v="UAE"/>
    <s v="Online"/>
    <n v="79.41"/>
    <n v="6"/>
    <n v="476.46"/>
    <s v="Mar"/>
    <s v="Low"/>
    <s v="Low"/>
    <n v="-559.46"/>
    <n v="0.1"/>
    <n v="428.81399999999996"/>
  </r>
  <r>
    <x v="831"/>
    <x v="107"/>
    <x v="5"/>
    <s v="Sports"/>
    <s v="Green"/>
    <s v="USA"/>
    <s v="Retail Store"/>
    <n v="129.54"/>
    <n v="8"/>
    <n v="1036.32"/>
    <s v="Dec"/>
    <s v="Low"/>
    <s v="Average"/>
    <n v="559.8599999999999"/>
    <n v="0.1"/>
    <n v="932.68799999999999"/>
  </r>
  <r>
    <x v="832"/>
    <x v="151"/>
    <x v="5"/>
    <s v="Casual"/>
    <s v="Grey"/>
    <s v="UK"/>
    <s v="Mall"/>
    <n v="60.99"/>
    <n v="16"/>
    <n v="975.84"/>
    <s v="Dec"/>
    <s v="Low"/>
    <s v="Average"/>
    <n v="-60.479999999999905"/>
    <n v="0.1"/>
    <n v="878.25600000000009"/>
  </r>
  <r>
    <x v="833"/>
    <x v="148"/>
    <x v="3"/>
    <s v="Running"/>
    <s v="White"/>
    <s v="India"/>
    <s v="Mall"/>
    <n v="68.81"/>
    <n v="1"/>
    <n v="68.81"/>
    <s v="Jul"/>
    <s v="Low"/>
    <s v="Low"/>
    <n v="-907.03"/>
    <n v="0.1"/>
    <n v="61.929000000000002"/>
  </r>
  <r>
    <x v="834"/>
    <x v="216"/>
    <x v="1"/>
    <s v="Sneakers"/>
    <s v="Black"/>
    <s v="India"/>
    <s v="Online"/>
    <n v="139.63999999999999"/>
    <n v="5"/>
    <n v="698.2"/>
    <s v="Mar"/>
    <s v="Low"/>
    <s v="Average"/>
    <n v="629.3900000000001"/>
    <n v="0.1"/>
    <n v="628.38000000000011"/>
  </r>
  <r>
    <x v="835"/>
    <x v="269"/>
    <x v="4"/>
    <s v="Casual"/>
    <s v="Grey"/>
    <s v="Germany"/>
    <s v="Mall"/>
    <n v="122.16"/>
    <n v="6"/>
    <n v="732.96"/>
    <s v="Jan"/>
    <s v="Low"/>
    <s v="Average"/>
    <n v="34.759999999999991"/>
    <n v="0.1"/>
    <n v="659.6640000000001"/>
  </r>
  <r>
    <x v="836"/>
    <x v="127"/>
    <x v="1"/>
    <s v="Boots"/>
    <s v="Green"/>
    <s v="Saudi Arabia"/>
    <s v="Retail Store"/>
    <n v="231.27"/>
    <n v="1"/>
    <n v="231.27"/>
    <s v="Oct"/>
    <s v="Low"/>
    <s v="Low"/>
    <n v="-501.69000000000005"/>
    <n v="0.1"/>
    <n v="208.143"/>
  </r>
  <r>
    <x v="837"/>
    <x v="275"/>
    <x v="5"/>
    <s v="Sneakers"/>
    <s v="Red"/>
    <s v="Saudi Arabia"/>
    <s v="Retail Store"/>
    <n v="109.73"/>
    <n v="7"/>
    <n v="768.11"/>
    <s v="Feb"/>
    <s v="Low"/>
    <s v="Average"/>
    <n v="536.84"/>
    <n v="0.1"/>
    <n v="691.29899999999998"/>
  </r>
  <r>
    <x v="838"/>
    <x v="154"/>
    <x v="5"/>
    <s v="Sneakers"/>
    <s v="White"/>
    <s v="Saudi Arabia"/>
    <s v="Mall"/>
    <n v="157.72999999999999"/>
    <n v="8"/>
    <n v="1261.8399999999999"/>
    <s v="Mar"/>
    <s v="Low"/>
    <s v="Average"/>
    <n v="493.7299999999999"/>
    <n v="0.1"/>
    <n v="1135.6559999999999"/>
  </r>
  <r>
    <x v="839"/>
    <x v="38"/>
    <x v="1"/>
    <s v="Sneakers"/>
    <s v="Blue"/>
    <s v="UK"/>
    <s v="Mall"/>
    <n v="169.1"/>
    <n v="20"/>
    <n v="3382"/>
    <s v="Apr"/>
    <s v="High"/>
    <s v="Excellent"/>
    <n v="2120.16"/>
    <n v="0.1"/>
    <n v="3043.8"/>
  </r>
  <r>
    <x v="840"/>
    <x v="185"/>
    <x v="5"/>
    <s v="Sneakers"/>
    <s v="Grey"/>
    <s v="USA"/>
    <s v="Online"/>
    <n v="32.880000000000003"/>
    <n v="11"/>
    <n v="361.68"/>
    <s v="Dec"/>
    <s v="Low"/>
    <s v="Low"/>
    <n v="-3020.32"/>
    <n v="0.1"/>
    <n v="325.512"/>
  </r>
  <r>
    <x v="841"/>
    <x v="8"/>
    <x v="3"/>
    <s v="Running"/>
    <s v="Black"/>
    <s v="UK"/>
    <s v="Mall"/>
    <n v="175.98"/>
    <n v="13"/>
    <n v="2287.7399999999998"/>
    <s v="Jul"/>
    <s v="High"/>
    <s v="Good"/>
    <n v="1926.0599999999997"/>
    <n v="0.1"/>
    <n v="2058.9659999999999"/>
  </r>
  <r>
    <x v="842"/>
    <x v="333"/>
    <x v="3"/>
    <s v="Sneakers"/>
    <s v="Black"/>
    <s v="UK"/>
    <s v="Retail Store"/>
    <n v="69.17"/>
    <n v="14"/>
    <n v="968.38"/>
    <s v="Sep"/>
    <s v="Low"/>
    <s v="Average"/>
    <n v="-1319.3599999999997"/>
    <n v="0.1"/>
    <n v="871.54200000000003"/>
  </r>
  <r>
    <x v="843"/>
    <x v="253"/>
    <x v="0"/>
    <s v="Sneakers"/>
    <s v="Grey"/>
    <s v="Saudi Arabia"/>
    <s v="Online"/>
    <n v="241.44"/>
    <n v="20"/>
    <n v="4828.8"/>
    <s v="Nov"/>
    <s v="High"/>
    <s v="Excellent"/>
    <n v="3860.42"/>
    <n v="0.1"/>
    <n v="4345.92"/>
  </r>
  <r>
    <x v="844"/>
    <x v="143"/>
    <x v="1"/>
    <s v="Casual"/>
    <s v="Grey"/>
    <s v="India"/>
    <s v="Online"/>
    <n v="62.71"/>
    <n v="16"/>
    <n v="1003.36"/>
    <s v="Feb"/>
    <s v="Low"/>
    <s v="Average"/>
    <n v="-3825.44"/>
    <n v="0.1"/>
    <n v="903.024"/>
  </r>
  <r>
    <x v="845"/>
    <x v="67"/>
    <x v="2"/>
    <s v="Formal"/>
    <s v="Blue"/>
    <s v="Saudi Arabia"/>
    <s v="Online"/>
    <n v="121.22"/>
    <n v="14"/>
    <n v="1697.08"/>
    <s v="Dec"/>
    <s v="Low"/>
    <s v="Good"/>
    <n v="693.71999999999991"/>
    <n v="0.1"/>
    <n v="1527.3720000000001"/>
  </r>
  <r>
    <x v="846"/>
    <x v="124"/>
    <x v="5"/>
    <s v="Casual"/>
    <s v="Red"/>
    <s v="Saudi Arabia"/>
    <s v="Retail Store"/>
    <n v="48.78"/>
    <n v="17"/>
    <n v="829.26"/>
    <s v="Dec"/>
    <s v="Low"/>
    <s v="Average"/>
    <n v="-867.81999999999994"/>
    <n v="0.1"/>
    <n v="746.33400000000006"/>
  </r>
  <r>
    <x v="847"/>
    <x v="101"/>
    <x v="1"/>
    <s v="Boots"/>
    <s v="Grey"/>
    <s v="USA"/>
    <s v="Retail Store"/>
    <n v="249.31"/>
    <n v="19"/>
    <n v="4736.8900000000003"/>
    <s v="Jun"/>
    <s v="High"/>
    <s v="Excellent"/>
    <n v="3907.63"/>
    <n v="0.1"/>
    <n v="4263.201"/>
  </r>
  <r>
    <x v="848"/>
    <x v="296"/>
    <x v="5"/>
    <s v="Casual"/>
    <s v="Black"/>
    <s v="France"/>
    <s v="Mall"/>
    <n v="140.47999999999999"/>
    <n v="9"/>
    <n v="1264.32"/>
    <s v="Mar"/>
    <s v="Low"/>
    <s v="Average"/>
    <n v="-3472.5700000000006"/>
    <n v="0.1"/>
    <n v="1137.8879999999999"/>
  </r>
  <r>
    <x v="849"/>
    <x v="258"/>
    <x v="4"/>
    <s v="Casual"/>
    <s v="Black"/>
    <s v="UAE"/>
    <s v="Mall"/>
    <n v="160.97999999999999"/>
    <n v="14"/>
    <n v="2253.7199999999998"/>
    <s v="Oct"/>
    <s v="High"/>
    <s v="Good"/>
    <n v="989.39999999999986"/>
    <n v="0.1"/>
    <n v="2028.348"/>
  </r>
  <r>
    <x v="850"/>
    <x v="94"/>
    <x v="2"/>
    <s v="Running"/>
    <s v="Grey"/>
    <s v="USA"/>
    <s v="Retail Store"/>
    <n v="44.76"/>
    <n v="19"/>
    <n v="850.44"/>
    <s v="Jan"/>
    <s v="Low"/>
    <s v="Average"/>
    <n v="-1403.2799999999997"/>
    <n v="0.1"/>
    <n v="765.39600000000007"/>
  </r>
  <r>
    <x v="851"/>
    <x v="208"/>
    <x v="1"/>
    <s v="Sports"/>
    <s v="Red"/>
    <s v="France"/>
    <s v="Online"/>
    <n v="194.99"/>
    <n v="7"/>
    <n v="1364.93"/>
    <s v="Dec"/>
    <s v="Low"/>
    <s v="Average"/>
    <n v="514.49"/>
    <n v="0.1"/>
    <n v="1228.4370000000001"/>
  </r>
  <r>
    <x v="852"/>
    <x v="334"/>
    <x v="1"/>
    <s v="Sneakers"/>
    <s v="Blue"/>
    <s v="France"/>
    <s v="Mall"/>
    <n v="76.180000000000007"/>
    <n v="14"/>
    <n v="1066.52"/>
    <s v="Mar"/>
    <s v="Low"/>
    <s v="Average"/>
    <n v="-298.41000000000008"/>
    <n v="0.1"/>
    <n v="959.86800000000005"/>
  </r>
  <r>
    <x v="853"/>
    <x v="2"/>
    <x v="4"/>
    <s v="Sneakers"/>
    <s v="Blue"/>
    <s v="UAE"/>
    <s v="Retail Store"/>
    <n v="227.57"/>
    <n v="19"/>
    <n v="4323.83"/>
    <s v="Aug"/>
    <s v="High"/>
    <s v="Excellent"/>
    <n v="3257.31"/>
    <n v="0.1"/>
    <n v="3891.4470000000001"/>
  </r>
  <r>
    <x v="854"/>
    <x v="141"/>
    <x v="2"/>
    <s v="Sneakers"/>
    <s v="Red"/>
    <s v="UK"/>
    <s v="Retail Store"/>
    <n v="75.13"/>
    <n v="14"/>
    <n v="1051.82"/>
    <s v="Apr"/>
    <s v="Low"/>
    <s v="Average"/>
    <n v="-3272.01"/>
    <n v="0.1"/>
    <n v="946.63799999999992"/>
  </r>
  <r>
    <x v="855"/>
    <x v="62"/>
    <x v="5"/>
    <s v="Sports"/>
    <s v="Blue"/>
    <s v="India"/>
    <s v="Retail Store"/>
    <n v="71.95"/>
    <n v="18"/>
    <n v="1295.0999999999999"/>
    <s v="Oct"/>
    <s v="Low"/>
    <s v="Average"/>
    <n v="243.27999999999997"/>
    <n v="0.1"/>
    <n v="1165.5899999999999"/>
  </r>
  <r>
    <x v="856"/>
    <x v="218"/>
    <x v="1"/>
    <s v="Casual"/>
    <s v="Green"/>
    <s v="USA"/>
    <s v="Mall"/>
    <n v="38.04"/>
    <n v="13"/>
    <n v="494.52"/>
    <s v="Dec"/>
    <s v="Low"/>
    <s v="Low"/>
    <n v="-800.57999999999993"/>
    <n v="0.1"/>
    <n v="445.06799999999998"/>
  </r>
  <r>
    <x v="857"/>
    <x v="335"/>
    <x v="1"/>
    <s v="Casual"/>
    <s v="Black"/>
    <s v="UK"/>
    <s v="Mall"/>
    <n v="133.85"/>
    <n v="15"/>
    <n v="2007.75"/>
    <s v="Apr"/>
    <s v="High"/>
    <s v="Good"/>
    <n v="1513.23"/>
    <n v="0.1"/>
    <n v="1806.9750000000001"/>
  </r>
  <r>
    <x v="858"/>
    <x v="188"/>
    <x v="2"/>
    <s v="Sneakers"/>
    <s v="Green"/>
    <s v="UAE"/>
    <s v="Mall"/>
    <n v="154.27000000000001"/>
    <n v="11"/>
    <n v="1696.97"/>
    <s v="Jul"/>
    <s v="Low"/>
    <s v="Good"/>
    <n v="-310.77999999999997"/>
    <n v="0.1"/>
    <n v="1527.2730000000001"/>
  </r>
  <r>
    <x v="859"/>
    <x v="126"/>
    <x v="5"/>
    <s v="Boots"/>
    <s v="Black"/>
    <s v="Saudi Arabia"/>
    <s v="Online"/>
    <n v="44.46"/>
    <n v="6"/>
    <n v="266.76"/>
    <s v="Jan"/>
    <s v="Low"/>
    <s v="Low"/>
    <n v="-1430.21"/>
    <n v="0.1"/>
    <n v="240.084"/>
  </r>
  <r>
    <x v="860"/>
    <x v="153"/>
    <x v="2"/>
    <s v="Formal"/>
    <s v="Black"/>
    <s v="USA"/>
    <s v="Retail Store"/>
    <n v="200.62"/>
    <n v="16"/>
    <n v="3209.92"/>
    <s v="Mar"/>
    <s v="High"/>
    <s v="Excellent"/>
    <n v="2943.16"/>
    <n v="0.1"/>
    <n v="2888.9280000000003"/>
  </r>
  <r>
    <x v="861"/>
    <x v="168"/>
    <x v="0"/>
    <s v="Sneakers"/>
    <s v="Black"/>
    <s v="UAE"/>
    <s v="Retail Store"/>
    <n v="129.72"/>
    <n v="12"/>
    <n v="1556.64"/>
    <s v="Apr"/>
    <s v="Low"/>
    <s v="Good"/>
    <n v="-1653.28"/>
    <n v="0.1"/>
    <n v="1400.9760000000001"/>
  </r>
  <r>
    <x v="862"/>
    <x v="188"/>
    <x v="1"/>
    <s v="Sneakers"/>
    <s v="Blue"/>
    <s v="UAE"/>
    <s v="Mall"/>
    <n v="145.37"/>
    <n v="20"/>
    <n v="2907.4"/>
    <s v="Jul"/>
    <s v="High"/>
    <s v="Good"/>
    <n v="1350.76"/>
    <n v="0.1"/>
    <n v="2616.6600000000003"/>
  </r>
  <r>
    <x v="863"/>
    <x v="317"/>
    <x v="1"/>
    <s v="Formal"/>
    <s v="Red"/>
    <s v="USA"/>
    <s v="Online"/>
    <n v="126.97"/>
    <n v="6"/>
    <n v="761.82"/>
    <s v="Jan"/>
    <s v="Low"/>
    <s v="Average"/>
    <n v="-2145.58"/>
    <n v="0.1"/>
    <n v="685.63800000000003"/>
  </r>
  <r>
    <x v="864"/>
    <x v="139"/>
    <x v="4"/>
    <s v="Casual"/>
    <s v="Black"/>
    <s v="Saudi Arabia"/>
    <s v="Mall"/>
    <n v="118.17"/>
    <n v="17"/>
    <n v="2008.89"/>
    <s v="Dec"/>
    <s v="High"/>
    <s v="Good"/>
    <n v="1247.0700000000002"/>
    <n v="0.1"/>
    <n v="1808.0010000000002"/>
  </r>
  <r>
    <x v="865"/>
    <x v="332"/>
    <x v="1"/>
    <s v="Casual"/>
    <s v="Grey"/>
    <s v="UK"/>
    <s v="Mall"/>
    <n v="153.12"/>
    <n v="17"/>
    <n v="2603.04"/>
    <s v="Sep"/>
    <s v="High"/>
    <s v="Good"/>
    <n v="594.14999999999986"/>
    <n v="0.1"/>
    <n v="2342.7359999999999"/>
  </r>
  <r>
    <x v="866"/>
    <x v="319"/>
    <x v="3"/>
    <s v="Boots"/>
    <s v="Black"/>
    <s v="UK"/>
    <s v="Online"/>
    <n v="64.150000000000006"/>
    <n v="12"/>
    <n v="769.8"/>
    <s v="Jan"/>
    <s v="Low"/>
    <s v="Average"/>
    <n v="-1833.24"/>
    <n v="0.1"/>
    <n v="692.81999999999994"/>
  </r>
  <r>
    <x v="867"/>
    <x v="173"/>
    <x v="4"/>
    <s v="Boots"/>
    <s v="Red"/>
    <s v="Germany"/>
    <s v="Mall"/>
    <n v="70.02"/>
    <n v="13"/>
    <n v="910.26"/>
    <s v="May"/>
    <s v="Low"/>
    <s v="Average"/>
    <n v="140.46000000000004"/>
    <n v="0.1"/>
    <n v="819.23400000000004"/>
  </r>
  <r>
    <x v="868"/>
    <x v="227"/>
    <x v="0"/>
    <s v="Boots"/>
    <s v="Green"/>
    <s v="USA"/>
    <s v="Online"/>
    <n v="219.59"/>
    <n v="17"/>
    <n v="3733.03"/>
    <s v="Apr"/>
    <s v="High"/>
    <s v="Excellent"/>
    <n v="2822.7700000000004"/>
    <n v="0.1"/>
    <n v="3359.7270000000003"/>
  </r>
  <r>
    <x v="869"/>
    <x v="238"/>
    <x v="1"/>
    <s v="Sneakers"/>
    <s v="Grey"/>
    <s v="France"/>
    <s v="Retail Store"/>
    <n v="238.15"/>
    <n v="10"/>
    <n v="2381.5"/>
    <s v="Oct"/>
    <s v="High"/>
    <s v="Good"/>
    <n v="-1351.5300000000002"/>
    <n v="0.1"/>
    <n v="2143.35"/>
  </r>
  <r>
    <x v="870"/>
    <x v="173"/>
    <x v="2"/>
    <s v="Casual"/>
    <s v="Red"/>
    <s v="Germany"/>
    <s v="Mall"/>
    <n v="112.13"/>
    <n v="8"/>
    <n v="897.04"/>
    <s v="May"/>
    <s v="Low"/>
    <s v="Average"/>
    <n v="-1484.46"/>
    <n v="0.1"/>
    <n v="807.33600000000001"/>
  </r>
  <r>
    <x v="871"/>
    <x v="247"/>
    <x v="3"/>
    <s v="Formal"/>
    <s v="Grey"/>
    <s v="USA"/>
    <s v="Mall"/>
    <n v="89.56"/>
    <n v="9"/>
    <n v="806.04"/>
    <s v="Jan"/>
    <s v="Low"/>
    <s v="Average"/>
    <n v="-91"/>
    <n v="0.1"/>
    <n v="725.43600000000004"/>
  </r>
  <r>
    <x v="872"/>
    <x v="50"/>
    <x v="4"/>
    <s v="Sports"/>
    <s v="Black"/>
    <s v="Saudi Arabia"/>
    <s v="Mall"/>
    <n v="171.68"/>
    <n v="17"/>
    <n v="2918.56"/>
    <s v="Feb"/>
    <s v="High"/>
    <s v="Good"/>
    <n v="2112.52"/>
    <n v="0.1"/>
    <n v="2626.7040000000002"/>
  </r>
  <r>
    <x v="873"/>
    <x v="163"/>
    <x v="2"/>
    <s v="Sports"/>
    <s v="Green"/>
    <s v="Germany"/>
    <s v="Retail Store"/>
    <n v="119.92"/>
    <n v="18"/>
    <n v="2158.56"/>
    <s v="May"/>
    <s v="High"/>
    <s v="Good"/>
    <n v="-760"/>
    <n v="0.1"/>
    <n v="1942.704"/>
  </r>
  <r>
    <x v="874"/>
    <x v="127"/>
    <x v="3"/>
    <s v="Sports"/>
    <s v="Red"/>
    <s v="UAE"/>
    <s v="Retail Store"/>
    <n v="35.58"/>
    <n v="16"/>
    <n v="569.28"/>
    <s v="Oct"/>
    <s v="Low"/>
    <s v="Average"/>
    <n v="-1589.28"/>
    <n v="0.1"/>
    <n v="512.35199999999998"/>
  </r>
  <r>
    <x v="875"/>
    <x v="135"/>
    <x v="5"/>
    <s v="Running"/>
    <s v="Blue"/>
    <s v="USA"/>
    <s v="Retail Store"/>
    <n v="64.349999999999994"/>
    <n v="1"/>
    <n v="64.349999999999994"/>
    <s v="Oct"/>
    <s v="Low"/>
    <s v="Low"/>
    <n v="-504.92999999999995"/>
    <n v="0.1"/>
    <n v="57.914999999999999"/>
  </r>
  <r>
    <x v="876"/>
    <x v="79"/>
    <x v="1"/>
    <s v="Boots"/>
    <s v="White"/>
    <s v="Saudi Arabia"/>
    <s v="Retail Store"/>
    <n v="187.51"/>
    <n v="8"/>
    <n v="1500.08"/>
    <s v="Nov"/>
    <s v="Low"/>
    <s v="Good"/>
    <n v="1435.73"/>
    <n v="0.1"/>
    <n v="1350.0719999999999"/>
  </r>
  <r>
    <x v="877"/>
    <x v="184"/>
    <x v="2"/>
    <s v="Sneakers"/>
    <s v="Black"/>
    <s v="UAE"/>
    <s v="Retail Store"/>
    <n v="174.96"/>
    <n v="12"/>
    <n v="2099.52"/>
    <s v="Jul"/>
    <s v="High"/>
    <s v="Good"/>
    <n v="599.44000000000005"/>
    <n v="0.1"/>
    <n v="1889.568"/>
  </r>
  <r>
    <x v="878"/>
    <x v="37"/>
    <x v="0"/>
    <s v="Formal"/>
    <s v="Green"/>
    <s v="UAE"/>
    <s v="Retail Store"/>
    <n v="35.96"/>
    <n v="10"/>
    <n v="359.6"/>
    <s v="May"/>
    <s v="Low"/>
    <s v="Low"/>
    <n v="-1739.92"/>
    <n v="0.1"/>
    <n v="323.64000000000004"/>
  </r>
  <r>
    <x v="879"/>
    <x v="59"/>
    <x v="3"/>
    <s v="Formal"/>
    <s v="Blue"/>
    <s v="France"/>
    <s v="Online"/>
    <n v="78.83"/>
    <n v="18"/>
    <n v="1418.94"/>
    <s v="Feb"/>
    <s v="Low"/>
    <s v="Average"/>
    <n v="1059.3400000000001"/>
    <n v="0.1"/>
    <n v="1277.046"/>
  </r>
  <r>
    <x v="880"/>
    <x v="125"/>
    <x v="3"/>
    <s v="Boots"/>
    <s v="Green"/>
    <s v="UK"/>
    <s v="Retail Store"/>
    <n v="80.84"/>
    <n v="9"/>
    <n v="727.56"/>
    <s v="Oct"/>
    <s v="Low"/>
    <s v="Average"/>
    <n v="-691.38000000000011"/>
    <n v="0.1"/>
    <n v="654.80399999999997"/>
  </r>
  <r>
    <x v="881"/>
    <x v="227"/>
    <x v="1"/>
    <s v="Casual"/>
    <s v="Blue"/>
    <s v="UK"/>
    <s v="Online"/>
    <n v="177.82"/>
    <n v="8"/>
    <n v="1422.56"/>
    <s v="Apr"/>
    <s v="Low"/>
    <s v="Average"/>
    <n v="695"/>
    <n v="0.1"/>
    <n v="1280.3040000000001"/>
  </r>
  <r>
    <x v="882"/>
    <x v="298"/>
    <x v="2"/>
    <s v="Sports"/>
    <s v="White"/>
    <s v="Saudi Arabia"/>
    <s v="Online"/>
    <n v="34.340000000000003"/>
    <n v="8"/>
    <n v="274.72000000000003"/>
    <s v="Apr"/>
    <s v="Low"/>
    <s v="Low"/>
    <n v="-1147.8399999999999"/>
    <n v="0.1"/>
    <n v="247.24800000000002"/>
  </r>
  <r>
    <x v="883"/>
    <x v="336"/>
    <x v="1"/>
    <s v="Boots"/>
    <s v="Red"/>
    <s v="India"/>
    <s v="Online"/>
    <n v="52.9"/>
    <n v="3"/>
    <n v="158.69999999999999"/>
    <s v="Mar"/>
    <s v="Low"/>
    <s v="Low"/>
    <n v="-116.02000000000004"/>
    <n v="0.1"/>
    <n v="142.82999999999998"/>
  </r>
  <r>
    <x v="884"/>
    <x v="44"/>
    <x v="5"/>
    <s v="Sports"/>
    <s v="Grey"/>
    <s v="France"/>
    <s v="Retail Store"/>
    <n v="205.98"/>
    <n v="2"/>
    <n v="411.96"/>
    <s v="Oct"/>
    <s v="Low"/>
    <s v="Low"/>
    <n v="253.26"/>
    <n v="0.1"/>
    <n v="370.76400000000001"/>
  </r>
  <r>
    <x v="885"/>
    <x v="260"/>
    <x v="5"/>
    <s v="Casual"/>
    <s v="Grey"/>
    <s v="France"/>
    <s v="Retail Store"/>
    <n v="69.28"/>
    <n v="9"/>
    <n v="623.52"/>
    <s v="Oct"/>
    <s v="Low"/>
    <s v="Average"/>
    <n v="211.56"/>
    <n v="0.1"/>
    <n v="561.16800000000001"/>
  </r>
  <r>
    <x v="886"/>
    <x v="168"/>
    <x v="3"/>
    <s v="Running"/>
    <s v="Grey"/>
    <s v="Saudi Arabia"/>
    <s v="Retail Store"/>
    <n v="173.6"/>
    <n v="19"/>
    <n v="3298.4"/>
    <s v="Apr"/>
    <s v="High"/>
    <s v="Excellent"/>
    <n v="2674.88"/>
    <n v="0.1"/>
    <n v="2968.56"/>
  </r>
  <r>
    <x v="887"/>
    <x v="45"/>
    <x v="0"/>
    <s v="Sneakers"/>
    <s v="Blue"/>
    <s v="Germany"/>
    <s v="Mall"/>
    <n v="82.4"/>
    <n v="18"/>
    <n v="1483.2"/>
    <s v="Sep"/>
    <s v="Low"/>
    <s v="Average"/>
    <n v="-1815.2"/>
    <n v="0.1"/>
    <n v="1334.88"/>
  </r>
  <r>
    <x v="888"/>
    <x v="75"/>
    <x v="0"/>
    <s v="Boots"/>
    <s v="Grey"/>
    <s v="Germany"/>
    <s v="Retail Store"/>
    <n v="51.88"/>
    <n v="15"/>
    <n v="778.2"/>
    <s v="Mar"/>
    <s v="Low"/>
    <s v="Average"/>
    <n v="-705"/>
    <n v="0.1"/>
    <n v="700.38000000000011"/>
  </r>
  <r>
    <x v="889"/>
    <x v="83"/>
    <x v="0"/>
    <s v="Boots"/>
    <s v="White"/>
    <s v="Germany"/>
    <s v="Mall"/>
    <n v="83.5"/>
    <n v="1"/>
    <n v="83.5"/>
    <s v="Dec"/>
    <s v="Low"/>
    <s v="Low"/>
    <n v="-694.7"/>
    <n v="0.1"/>
    <n v="75.150000000000006"/>
  </r>
  <r>
    <x v="890"/>
    <x v="210"/>
    <x v="4"/>
    <s v="Sneakers"/>
    <s v="Blue"/>
    <s v="UK"/>
    <s v="Mall"/>
    <n v="188.9"/>
    <n v="11"/>
    <n v="2077.9"/>
    <s v="Feb"/>
    <s v="High"/>
    <s v="Good"/>
    <n v="1994.4"/>
    <n v="0.1"/>
    <n v="1870.1100000000001"/>
  </r>
  <r>
    <x v="891"/>
    <x v="17"/>
    <x v="4"/>
    <s v="Formal"/>
    <s v="Grey"/>
    <s v="France"/>
    <s v="Retail Store"/>
    <n v="218.25"/>
    <n v="8"/>
    <n v="1746"/>
    <s v="May"/>
    <s v="Low"/>
    <s v="Good"/>
    <n v="-331.90000000000009"/>
    <n v="0.1"/>
    <n v="1571.4"/>
  </r>
  <r>
    <x v="892"/>
    <x v="120"/>
    <x v="5"/>
    <s v="Casual"/>
    <s v="Red"/>
    <s v="UAE"/>
    <s v="Retail Store"/>
    <n v="212.65"/>
    <n v="16"/>
    <n v="3402.4"/>
    <s v="Apr"/>
    <s v="High"/>
    <s v="Excellent"/>
    <n v="1656.4"/>
    <n v="0.1"/>
    <n v="3062.1600000000003"/>
  </r>
  <r>
    <x v="893"/>
    <x v="213"/>
    <x v="4"/>
    <s v="Formal"/>
    <s v="White"/>
    <s v="India"/>
    <s v="Online"/>
    <n v="117.38"/>
    <n v="13"/>
    <n v="1525.94"/>
    <s v="Jul"/>
    <s v="Low"/>
    <s v="Good"/>
    <n v="-1876.46"/>
    <n v="0.1"/>
    <n v="1373.346"/>
  </r>
  <r>
    <x v="894"/>
    <x v="260"/>
    <x v="0"/>
    <s v="Boots"/>
    <s v="Blue"/>
    <s v="Saudi Arabia"/>
    <s v="Online"/>
    <n v="176.98"/>
    <n v="8"/>
    <n v="1415.84"/>
    <s v="Oct"/>
    <s v="Low"/>
    <s v="Average"/>
    <n v="-110.10000000000014"/>
    <n v="0.1"/>
    <n v="1274.2559999999999"/>
  </r>
  <r>
    <x v="895"/>
    <x v="327"/>
    <x v="5"/>
    <s v="Casual"/>
    <s v="White"/>
    <s v="Saudi Arabia"/>
    <s v="Mall"/>
    <n v="75.099999999999994"/>
    <n v="14"/>
    <n v="1051.4000000000001"/>
    <s v="Oct"/>
    <s v="Low"/>
    <s v="Average"/>
    <n v="-364.43999999999983"/>
    <n v="0.1"/>
    <n v="946.2600000000001"/>
  </r>
  <r>
    <x v="896"/>
    <x v="132"/>
    <x v="0"/>
    <s v="Casual"/>
    <s v="Red"/>
    <s v="Germany"/>
    <s v="Online"/>
    <n v="94.49"/>
    <n v="16"/>
    <n v="1511.84"/>
    <s v="Mar"/>
    <s v="Low"/>
    <s v="Good"/>
    <n v="460.43999999999983"/>
    <n v="0.1"/>
    <n v="1360.6559999999999"/>
  </r>
  <r>
    <x v="897"/>
    <x v="301"/>
    <x v="2"/>
    <s v="Boots"/>
    <s v="Blue"/>
    <s v="Saudi Arabia"/>
    <s v="Retail Store"/>
    <n v="227.19"/>
    <n v="17"/>
    <n v="3862.23"/>
    <s v="Nov"/>
    <s v="High"/>
    <s v="Excellent"/>
    <n v="2350.3900000000003"/>
    <n v="0.1"/>
    <n v="3476.0070000000001"/>
  </r>
  <r>
    <x v="898"/>
    <x v="157"/>
    <x v="2"/>
    <s v="Sneakers"/>
    <s v="Black"/>
    <s v="Germany"/>
    <s v="Online"/>
    <n v="32.86"/>
    <n v="9"/>
    <n v="295.74"/>
    <s v="Jun"/>
    <s v="Low"/>
    <s v="Low"/>
    <n v="-3566.49"/>
    <n v="0.1"/>
    <n v="266.166"/>
  </r>
  <r>
    <x v="899"/>
    <x v="29"/>
    <x v="0"/>
    <s v="Casual"/>
    <s v="Blue"/>
    <s v="Germany"/>
    <s v="Mall"/>
    <n v="48.81"/>
    <n v="6"/>
    <n v="292.86"/>
    <s v="Dec"/>
    <s v="Low"/>
    <s v="Low"/>
    <n v="-2.8799999999999955"/>
    <n v="0.1"/>
    <n v="263.57400000000001"/>
  </r>
  <r>
    <x v="900"/>
    <x v="35"/>
    <x v="1"/>
    <s v="Sports"/>
    <s v="Blue"/>
    <s v="France"/>
    <s v="Retail Store"/>
    <n v="75.73"/>
    <n v="15"/>
    <n v="1135.95"/>
    <s v="Feb"/>
    <s v="Low"/>
    <s v="Average"/>
    <n v="843.09"/>
    <n v="0.1"/>
    <n v="1022.355"/>
  </r>
  <r>
    <x v="901"/>
    <x v="62"/>
    <x v="4"/>
    <s v="Sports"/>
    <s v="Black"/>
    <s v="Germany"/>
    <s v="Online"/>
    <n v="35.840000000000003"/>
    <n v="18"/>
    <n v="645.12"/>
    <s v="Oct"/>
    <s v="Low"/>
    <s v="Average"/>
    <n v="-490.83000000000004"/>
    <n v="0.1"/>
    <n v="580.60800000000006"/>
  </r>
  <r>
    <x v="902"/>
    <x v="101"/>
    <x v="3"/>
    <s v="Sneakers"/>
    <s v="Grey"/>
    <s v="UAE"/>
    <s v="Mall"/>
    <n v="69.92"/>
    <n v="20"/>
    <n v="1398.4"/>
    <s v="Jun"/>
    <s v="Low"/>
    <s v="Average"/>
    <n v="753.28000000000009"/>
    <n v="0.1"/>
    <n v="1258.5600000000002"/>
  </r>
  <r>
    <x v="903"/>
    <x v="71"/>
    <x v="4"/>
    <s v="Sports"/>
    <s v="Blue"/>
    <s v="UAE"/>
    <s v="Mall"/>
    <n v="158.27000000000001"/>
    <n v="6"/>
    <n v="949.62"/>
    <s v="Oct"/>
    <s v="Low"/>
    <s v="Average"/>
    <n v="-448.78000000000009"/>
    <n v="0.1"/>
    <n v="854.65800000000002"/>
  </r>
  <r>
    <x v="904"/>
    <x v="43"/>
    <x v="0"/>
    <s v="Formal"/>
    <s v="Grey"/>
    <s v="France"/>
    <s v="Retail Store"/>
    <n v="122.71"/>
    <n v="15"/>
    <n v="1840.65"/>
    <s v="Sep"/>
    <s v="Low"/>
    <s v="Good"/>
    <n v="891.03000000000009"/>
    <n v="0.1"/>
    <n v="1656.585"/>
  </r>
  <r>
    <x v="905"/>
    <x v="199"/>
    <x v="3"/>
    <s v="Boots"/>
    <s v="Blue"/>
    <s v="Germany"/>
    <s v="Mall"/>
    <n v="226.39"/>
    <n v="5"/>
    <n v="1131.95"/>
    <s v="Nov"/>
    <s v="Low"/>
    <s v="Average"/>
    <n v="-708.7"/>
    <n v="0.1"/>
    <n v="1018.7550000000001"/>
  </r>
  <r>
    <x v="906"/>
    <x v="325"/>
    <x v="5"/>
    <s v="Running"/>
    <s v="Black"/>
    <s v="UK"/>
    <s v="Retail Store"/>
    <n v="209.84"/>
    <n v="19"/>
    <n v="3986.96"/>
    <s v="Nov"/>
    <s v="High"/>
    <s v="Excellent"/>
    <n v="2855.01"/>
    <n v="0.1"/>
    <n v="3588.2640000000001"/>
  </r>
  <r>
    <x v="907"/>
    <x v="65"/>
    <x v="4"/>
    <s v="Boots"/>
    <s v="Blue"/>
    <s v="UAE"/>
    <s v="Retail Store"/>
    <n v="105.2"/>
    <n v="11"/>
    <n v="1157.2"/>
    <s v="Apr"/>
    <s v="Low"/>
    <s v="Average"/>
    <n v="-2829.76"/>
    <n v="0.1"/>
    <n v="1041.48"/>
  </r>
  <r>
    <x v="908"/>
    <x v="7"/>
    <x v="4"/>
    <s v="Formal"/>
    <s v="Blue"/>
    <s v="UAE"/>
    <s v="Mall"/>
    <n v="87.07"/>
    <n v="13"/>
    <n v="1131.9100000000001"/>
    <s v="Nov"/>
    <s v="Low"/>
    <s v="Average"/>
    <n v="-25.289999999999964"/>
    <n v="0.1"/>
    <n v="1018.7190000000001"/>
  </r>
  <r>
    <x v="909"/>
    <x v="282"/>
    <x v="5"/>
    <s v="Casual"/>
    <s v="White"/>
    <s v="Saudi Arabia"/>
    <s v="Online"/>
    <n v="113.53"/>
    <n v="15"/>
    <n v="1702.95"/>
    <s v="Sep"/>
    <s v="Low"/>
    <s v="Good"/>
    <n v="571.04"/>
    <n v="0.1"/>
    <n v="1532.655"/>
  </r>
  <r>
    <x v="910"/>
    <x v="27"/>
    <x v="1"/>
    <s v="Sports"/>
    <s v="Green"/>
    <s v="UAE"/>
    <s v="Mall"/>
    <n v="159.86000000000001"/>
    <n v="8"/>
    <n v="1278.8800000000001"/>
    <s v="Mar"/>
    <s v="Low"/>
    <s v="Average"/>
    <n v="-424.06999999999994"/>
    <n v="0.1"/>
    <n v="1150.9920000000002"/>
  </r>
  <r>
    <x v="911"/>
    <x v="26"/>
    <x v="3"/>
    <s v="Formal"/>
    <s v="Black"/>
    <s v="USA"/>
    <s v="Online"/>
    <n v="88.97"/>
    <n v="7"/>
    <n v="622.79"/>
    <s v="Feb"/>
    <s v="Low"/>
    <s v="Average"/>
    <n v="-656.09000000000015"/>
    <n v="0.1"/>
    <n v="560.51099999999997"/>
  </r>
  <r>
    <x v="912"/>
    <x v="78"/>
    <x v="0"/>
    <s v="Running"/>
    <s v="Red"/>
    <s v="India"/>
    <s v="Online"/>
    <n v="167.31"/>
    <n v="18"/>
    <n v="3011.58"/>
    <s v="Aug"/>
    <s v="High"/>
    <s v="Excellent"/>
    <n v="2388.79"/>
    <n v="0.1"/>
    <n v="2710.422"/>
  </r>
  <r>
    <x v="913"/>
    <x v="321"/>
    <x v="2"/>
    <s v="Casual"/>
    <s v="Black"/>
    <s v="UAE"/>
    <s v="Retail Store"/>
    <n v="120.07"/>
    <n v="9"/>
    <n v="1080.6300000000001"/>
    <s v="Feb"/>
    <s v="Low"/>
    <s v="Average"/>
    <n v="-1930.9499999999998"/>
    <n v="0.1"/>
    <n v="972.56700000000012"/>
  </r>
  <r>
    <x v="914"/>
    <x v="73"/>
    <x v="3"/>
    <s v="Boots"/>
    <s v="Blue"/>
    <s v="Germany"/>
    <s v="Mall"/>
    <n v="151.44999999999999"/>
    <n v="8"/>
    <n v="1211.5999999999999"/>
    <s v="Jun"/>
    <s v="Low"/>
    <s v="Average"/>
    <n v="130.9699999999998"/>
    <n v="0.1"/>
    <n v="1090.44"/>
  </r>
  <r>
    <x v="915"/>
    <x v="27"/>
    <x v="2"/>
    <s v="Casual"/>
    <s v="Black"/>
    <s v="USA"/>
    <s v="Mall"/>
    <n v="125.95"/>
    <n v="5"/>
    <n v="629.75"/>
    <s v="Mar"/>
    <s v="Low"/>
    <s v="Average"/>
    <n v="-581.84999999999991"/>
    <n v="0.1"/>
    <n v="566.77499999999998"/>
  </r>
  <r>
    <x v="916"/>
    <x v="273"/>
    <x v="5"/>
    <s v="Formal"/>
    <s v="Grey"/>
    <s v="France"/>
    <s v="Mall"/>
    <n v="94.78"/>
    <n v="11"/>
    <n v="1042.58"/>
    <s v="Jul"/>
    <s v="Low"/>
    <s v="Average"/>
    <n v="412.82999999999993"/>
    <n v="0.1"/>
    <n v="938.322"/>
  </r>
  <r>
    <x v="917"/>
    <x v="181"/>
    <x v="1"/>
    <s v="Sneakers"/>
    <s v="White"/>
    <s v="India"/>
    <s v="Mall"/>
    <n v="238.66"/>
    <n v="5"/>
    <n v="1193.3"/>
    <s v="Aug"/>
    <s v="Low"/>
    <s v="Average"/>
    <n v="150.72000000000003"/>
    <n v="0.1"/>
    <n v="1073.97"/>
  </r>
  <r>
    <x v="918"/>
    <x v="85"/>
    <x v="5"/>
    <s v="Sneakers"/>
    <s v="Green"/>
    <s v="UAE"/>
    <s v="Mall"/>
    <n v="197.99"/>
    <n v="19"/>
    <n v="3761.81"/>
    <s v="Aug"/>
    <s v="High"/>
    <s v="Excellent"/>
    <n v="2568.5100000000002"/>
    <n v="0.1"/>
    <n v="3385.6289999999999"/>
  </r>
  <r>
    <x v="919"/>
    <x v="73"/>
    <x v="5"/>
    <s v="Sneakers"/>
    <s v="White"/>
    <s v="Saudi Arabia"/>
    <s v="Online"/>
    <n v="60.82"/>
    <n v="12"/>
    <n v="729.84"/>
    <s v="Jun"/>
    <s v="Low"/>
    <s v="Average"/>
    <n v="-3031.97"/>
    <n v="0.1"/>
    <n v="656.85599999999999"/>
  </r>
  <r>
    <x v="920"/>
    <x v="58"/>
    <x v="4"/>
    <s v="Formal"/>
    <s v="Blue"/>
    <s v="UK"/>
    <s v="Retail Store"/>
    <n v="221.06"/>
    <n v="10"/>
    <n v="2210.6"/>
    <s v="Aug"/>
    <s v="High"/>
    <s v="Good"/>
    <n v="1480.7599999999998"/>
    <n v="0.1"/>
    <n v="1989.54"/>
  </r>
  <r>
    <x v="921"/>
    <x v="114"/>
    <x v="2"/>
    <s v="Casual"/>
    <s v="Blue"/>
    <s v="France"/>
    <s v="Retail Store"/>
    <n v="137.22999999999999"/>
    <n v="1"/>
    <n v="137.22999999999999"/>
    <s v="Jan"/>
    <s v="Low"/>
    <s v="Low"/>
    <n v="-2073.37"/>
    <n v="0.1"/>
    <n v="123.50699999999999"/>
  </r>
  <r>
    <x v="922"/>
    <x v="123"/>
    <x v="1"/>
    <s v="Formal"/>
    <s v="Red"/>
    <s v="France"/>
    <s v="Online"/>
    <n v="226.8"/>
    <n v="1"/>
    <n v="226.8"/>
    <s v="Oct"/>
    <s v="Low"/>
    <s v="Low"/>
    <n v="89.570000000000022"/>
    <n v="0.1"/>
    <n v="204.12"/>
  </r>
  <r>
    <x v="923"/>
    <x v="223"/>
    <x v="2"/>
    <s v="Casual"/>
    <s v="Black"/>
    <s v="India"/>
    <s v="Retail Store"/>
    <n v="205.97"/>
    <n v="10"/>
    <n v="2059.6999999999998"/>
    <s v="Aug"/>
    <s v="High"/>
    <s v="Good"/>
    <n v="1832.8999999999999"/>
    <n v="0.1"/>
    <n v="1853.7299999999998"/>
  </r>
  <r>
    <x v="924"/>
    <x v="311"/>
    <x v="2"/>
    <s v="Formal"/>
    <s v="Red"/>
    <s v="UK"/>
    <s v="Online"/>
    <n v="123.55"/>
    <n v="14"/>
    <n v="1729.7"/>
    <s v="Apr"/>
    <s v="Low"/>
    <s v="Good"/>
    <n v="-329.99999999999977"/>
    <n v="0.1"/>
    <n v="1556.73"/>
  </r>
  <r>
    <x v="925"/>
    <x v="203"/>
    <x v="5"/>
    <s v="Casual"/>
    <s v="Blue"/>
    <s v="USA"/>
    <s v="Retail Store"/>
    <n v="34.94"/>
    <n v="13"/>
    <n v="454.22"/>
    <s v="Nov"/>
    <s v="Low"/>
    <s v="Low"/>
    <n v="-1275.48"/>
    <n v="0.1"/>
    <n v="408.79800000000006"/>
  </r>
  <r>
    <x v="926"/>
    <x v="262"/>
    <x v="2"/>
    <s v="Sneakers"/>
    <s v="Green"/>
    <s v="UAE"/>
    <s v="Retail Store"/>
    <n v="89.11"/>
    <n v="8"/>
    <n v="712.88"/>
    <s v="Nov"/>
    <s v="Low"/>
    <s v="Average"/>
    <n v="258.65999999999997"/>
    <n v="0.1"/>
    <n v="641.59199999999998"/>
  </r>
  <r>
    <x v="927"/>
    <x v="289"/>
    <x v="4"/>
    <s v="Formal"/>
    <s v="White"/>
    <s v="Saudi Arabia"/>
    <s v="Online"/>
    <n v="149.16"/>
    <n v="18"/>
    <n v="2684.88"/>
    <s v="May"/>
    <s v="High"/>
    <s v="Good"/>
    <n v="1972"/>
    <n v="0.1"/>
    <n v="2416.3920000000003"/>
  </r>
  <r>
    <x v="928"/>
    <x v="38"/>
    <x v="4"/>
    <s v="Running"/>
    <s v="Green"/>
    <s v="Germany"/>
    <s v="Mall"/>
    <n v="169.37"/>
    <n v="5"/>
    <n v="846.85"/>
    <s v="Apr"/>
    <s v="Low"/>
    <s v="Average"/>
    <n v="-1838.0300000000002"/>
    <n v="0.1"/>
    <n v="762.16500000000008"/>
  </r>
  <r>
    <x v="929"/>
    <x v="337"/>
    <x v="1"/>
    <s v="Sneakers"/>
    <s v="Red"/>
    <s v="UK"/>
    <s v="Retail Store"/>
    <n v="86.74"/>
    <n v="9"/>
    <n v="780.66"/>
    <s v="Aug"/>
    <s v="Low"/>
    <s v="Average"/>
    <n v="-66.190000000000055"/>
    <n v="0.1"/>
    <n v="702.59399999999994"/>
  </r>
  <r>
    <x v="930"/>
    <x v="193"/>
    <x v="0"/>
    <s v="Sneakers"/>
    <s v="Black"/>
    <s v="UK"/>
    <s v="Online"/>
    <n v="60.66"/>
    <n v="5"/>
    <n v="303.3"/>
    <s v="Jan"/>
    <s v="Low"/>
    <s v="Low"/>
    <n v="-477.35999999999996"/>
    <n v="0.1"/>
    <n v="272.97000000000003"/>
  </r>
  <r>
    <x v="931"/>
    <x v="338"/>
    <x v="3"/>
    <s v="Boots"/>
    <s v="Red"/>
    <s v="UAE"/>
    <s v="Online"/>
    <n v="213.68"/>
    <n v="9"/>
    <n v="1923.12"/>
    <s v="May"/>
    <s v="Low"/>
    <s v="Good"/>
    <n v="1619.82"/>
    <n v="0.1"/>
    <n v="1730.808"/>
  </r>
  <r>
    <x v="932"/>
    <x v="167"/>
    <x v="3"/>
    <s v="Running"/>
    <s v="Red"/>
    <s v="UK"/>
    <s v="Retail Store"/>
    <n v="246.57"/>
    <n v="3"/>
    <n v="739.71"/>
    <s v="Apr"/>
    <s v="Low"/>
    <s v="Average"/>
    <n v="-1183.4099999999999"/>
    <n v="0.1"/>
    <n v="665.73900000000003"/>
  </r>
  <r>
    <x v="933"/>
    <x v="108"/>
    <x v="5"/>
    <s v="Sports"/>
    <s v="Red"/>
    <s v="UAE"/>
    <s v="Online"/>
    <n v="145.65"/>
    <n v="10"/>
    <n v="1456.5"/>
    <s v="Aug"/>
    <s v="Low"/>
    <s v="Average"/>
    <n v="716.79"/>
    <n v="0.1"/>
    <n v="1310.8500000000001"/>
  </r>
  <r>
    <x v="934"/>
    <x v="92"/>
    <x v="3"/>
    <s v="Running"/>
    <s v="Blue"/>
    <s v="Saudi Arabia"/>
    <s v="Retail Store"/>
    <n v="67.77"/>
    <n v="3"/>
    <n v="203.31"/>
    <s v="Jun"/>
    <s v="Low"/>
    <s v="Low"/>
    <n v="-1253.19"/>
    <n v="0.1"/>
    <n v="182.97900000000001"/>
  </r>
  <r>
    <x v="935"/>
    <x v="287"/>
    <x v="5"/>
    <s v="Casual"/>
    <s v="White"/>
    <s v="Saudi Arabia"/>
    <s v="Retail Store"/>
    <n v="89.91"/>
    <n v="18"/>
    <n v="1618.38"/>
    <s v="Feb"/>
    <s v="Low"/>
    <s v="Good"/>
    <n v="1415.0700000000002"/>
    <n v="0.1"/>
    <n v="1456.5420000000001"/>
  </r>
  <r>
    <x v="936"/>
    <x v="20"/>
    <x v="0"/>
    <s v="Boots"/>
    <s v="White"/>
    <s v="Germany"/>
    <s v="Retail Store"/>
    <n v="34.049999999999997"/>
    <n v="1"/>
    <n v="34.049999999999997"/>
    <s v="Jul"/>
    <s v="Low"/>
    <s v="Low"/>
    <n v="-1584.3300000000002"/>
    <n v="0.1"/>
    <n v="30.645"/>
  </r>
  <r>
    <x v="937"/>
    <x v="102"/>
    <x v="3"/>
    <s v="Formal"/>
    <s v="Green"/>
    <s v="Saudi Arabia"/>
    <s v="Online"/>
    <n v="231.15"/>
    <n v="2"/>
    <n v="462.3"/>
    <s v="May"/>
    <s v="Low"/>
    <s v="Low"/>
    <n v="428.25"/>
    <n v="0.1"/>
    <n v="416.07"/>
  </r>
  <r>
    <x v="938"/>
    <x v="282"/>
    <x v="5"/>
    <s v="Formal"/>
    <s v="Green"/>
    <s v="France"/>
    <s v="Retail Store"/>
    <n v="55.91"/>
    <n v="7"/>
    <n v="391.37"/>
    <s v="Sep"/>
    <s v="Low"/>
    <s v="Low"/>
    <n v="-70.930000000000007"/>
    <n v="0.1"/>
    <n v="352.233"/>
  </r>
  <r>
    <x v="939"/>
    <x v="5"/>
    <x v="1"/>
    <s v="Sneakers"/>
    <s v="Grey"/>
    <s v="USA"/>
    <s v="Retail Store"/>
    <n v="156.83000000000001"/>
    <n v="2"/>
    <n v="313.66000000000003"/>
    <s v="Mar"/>
    <s v="Low"/>
    <s v="Low"/>
    <n v="-77.70999999999998"/>
    <n v="0.1"/>
    <n v="282.29400000000004"/>
  </r>
  <r>
    <x v="940"/>
    <x v="315"/>
    <x v="3"/>
    <s v="Sports"/>
    <s v="Black"/>
    <s v="Saudi Arabia"/>
    <s v="Mall"/>
    <n v="90.29"/>
    <n v="10"/>
    <n v="902.9"/>
    <s v="Sep"/>
    <s v="Low"/>
    <s v="Average"/>
    <n v="589.24"/>
    <n v="0.1"/>
    <n v="812.61"/>
  </r>
  <r>
    <x v="941"/>
    <x v="314"/>
    <x v="3"/>
    <s v="Boots"/>
    <s v="Red"/>
    <s v="France"/>
    <s v="Online"/>
    <n v="151.91999999999999"/>
    <n v="4"/>
    <n v="607.67999999999995"/>
    <s v="Apr"/>
    <s v="Low"/>
    <s v="Average"/>
    <n v="-295.22000000000003"/>
    <n v="0.1"/>
    <n v="546.91199999999992"/>
  </r>
  <r>
    <x v="942"/>
    <x v="40"/>
    <x v="2"/>
    <s v="Running"/>
    <s v="Red"/>
    <s v="Saudi Arabia"/>
    <s v="Online"/>
    <n v="173.31"/>
    <n v="9"/>
    <n v="1559.79"/>
    <s v="Mar"/>
    <s v="Low"/>
    <s v="Good"/>
    <n v="952.11"/>
    <n v="0.1"/>
    <n v="1403.8109999999999"/>
  </r>
  <r>
    <x v="943"/>
    <x v="323"/>
    <x v="2"/>
    <s v="Boots"/>
    <s v="Red"/>
    <s v="UAE"/>
    <s v="Mall"/>
    <n v="212.54"/>
    <n v="2"/>
    <n v="425.08"/>
    <s v="Jan"/>
    <s v="Low"/>
    <s v="Low"/>
    <n v="-1134.71"/>
    <n v="0.1"/>
    <n v="382.572"/>
  </r>
  <r>
    <x v="944"/>
    <x v="334"/>
    <x v="0"/>
    <s v="Casual"/>
    <s v="White"/>
    <s v="Germany"/>
    <s v="Online"/>
    <n v="75.41"/>
    <n v="12"/>
    <n v="904.92"/>
    <s v="Mar"/>
    <s v="Low"/>
    <s v="Average"/>
    <n v="479.84"/>
    <n v="0.1"/>
    <n v="814.428"/>
  </r>
  <r>
    <x v="945"/>
    <x v="185"/>
    <x v="4"/>
    <s v="Boots"/>
    <s v="Black"/>
    <s v="USA"/>
    <s v="Retail Store"/>
    <n v="32.42"/>
    <n v="20"/>
    <n v="648.4"/>
    <s v="Dec"/>
    <s v="Low"/>
    <s v="Average"/>
    <n v="-256.52"/>
    <n v="0.1"/>
    <n v="583.55999999999995"/>
  </r>
  <r>
    <x v="946"/>
    <x v="203"/>
    <x v="1"/>
    <s v="Sneakers"/>
    <s v="Black"/>
    <s v="UK"/>
    <s v="Retail Store"/>
    <n v="60.11"/>
    <n v="5"/>
    <n v="300.55"/>
    <s v="Nov"/>
    <s v="Low"/>
    <s v="Low"/>
    <n v="-347.84999999999997"/>
    <n v="0.1"/>
    <n v="270.495"/>
  </r>
  <r>
    <x v="947"/>
    <x v="167"/>
    <x v="2"/>
    <s v="Boots"/>
    <s v="Blue"/>
    <s v="Saudi Arabia"/>
    <s v="Retail Store"/>
    <n v="228"/>
    <n v="11"/>
    <n v="2508"/>
    <s v="Apr"/>
    <s v="High"/>
    <s v="Good"/>
    <n v="2207.4499999999998"/>
    <n v="0.1"/>
    <n v="2257.2000000000003"/>
  </r>
  <r>
    <x v="948"/>
    <x v="119"/>
    <x v="1"/>
    <s v="Formal"/>
    <s v="Blue"/>
    <s v="UAE"/>
    <s v="Online"/>
    <n v="222.26"/>
    <n v="1"/>
    <n v="222.26"/>
    <s v="Apr"/>
    <s v="Low"/>
    <s v="Low"/>
    <n v="-2285.7399999999998"/>
    <n v="0.1"/>
    <n v="200.03399999999999"/>
  </r>
  <r>
    <x v="949"/>
    <x v="56"/>
    <x v="5"/>
    <s v="Boots"/>
    <s v="Red"/>
    <s v="India"/>
    <s v="Retail Store"/>
    <n v="161.43"/>
    <n v="2"/>
    <n v="322.86"/>
    <s v="May"/>
    <s v="Low"/>
    <s v="Low"/>
    <n v="100.60000000000002"/>
    <n v="0.1"/>
    <n v="290.57400000000001"/>
  </r>
  <r>
    <x v="950"/>
    <x v="44"/>
    <x v="3"/>
    <s v="Sneakers"/>
    <s v="White"/>
    <s v="India"/>
    <s v="Retail Store"/>
    <n v="162.11000000000001"/>
    <n v="16"/>
    <n v="2593.7600000000002"/>
    <s v="Oct"/>
    <s v="High"/>
    <s v="Good"/>
    <n v="2270.9"/>
    <n v="0.1"/>
    <n v="2334.3840000000005"/>
  </r>
  <r>
    <x v="951"/>
    <x v="198"/>
    <x v="4"/>
    <s v="Sneakers"/>
    <s v="Grey"/>
    <s v="UK"/>
    <s v="Online"/>
    <n v="176.31"/>
    <n v="15"/>
    <n v="2644.65"/>
    <s v="Jun"/>
    <s v="High"/>
    <s v="Good"/>
    <n v="50.889999999999873"/>
    <n v="0.1"/>
    <n v="2380.1849999999999"/>
  </r>
  <r>
    <x v="952"/>
    <x v="189"/>
    <x v="5"/>
    <s v="Sports"/>
    <s v="Blue"/>
    <s v="India"/>
    <s v="Retail Store"/>
    <n v="68.58"/>
    <n v="5"/>
    <n v="342.9"/>
    <s v="Sep"/>
    <s v="Low"/>
    <s v="Low"/>
    <n v="-2301.75"/>
    <n v="0.1"/>
    <n v="308.61"/>
  </r>
  <r>
    <x v="953"/>
    <x v="131"/>
    <x v="1"/>
    <s v="Sneakers"/>
    <s v="Red"/>
    <s v="UAE"/>
    <s v="Online"/>
    <n v="231.17"/>
    <n v="1"/>
    <n v="231.17"/>
    <s v="Aug"/>
    <s v="Low"/>
    <s v="Low"/>
    <n v="-111.72999999999999"/>
    <n v="0.1"/>
    <n v="208.053"/>
  </r>
  <r>
    <x v="954"/>
    <x v="193"/>
    <x v="4"/>
    <s v="Sneakers"/>
    <s v="White"/>
    <s v="France"/>
    <s v="Mall"/>
    <n v="122.13"/>
    <n v="20"/>
    <n v="2442.6"/>
    <s v="Jan"/>
    <s v="High"/>
    <s v="Good"/>
    <n v="2211.4299999999998"/>
    <n v="0.1"/>
    <n v="2198.34"/>
  </r>
  <r>
    <x v="955"/>
    <x v="31"/>
    <x v="5"/>
    <s v="Casual"/>
    <s v="Grey"/>
    <s v="UAE"/>
    <s v="Retail Store"/>
    <n v="114.29"/>
    <n v="18"/>
    <n v="2057.2199999999998"/>
    <s v="Feb"/>
    <s v="High"/>
    <s v="Good"/>
    <n v="-385.38000000000011"/>
    <n v="0.1"/>
    <n v="1851.4979999999998"/>
  </r>
  <r>
    <x v="956"/>
    <x v="339"/>
    <x v="2"/>
    <s v="Sports"/>
    <s v="Blue"/>
    <s v="Germany"/>
    <s v="Mall"/>
    <n v="144.16"/>
    <n v="5"/>
    <n v="720.8"/>
    <s v="Oct"/>
    <s v="Low"/>
    <s v="Average"/>
    <n v="-1336.4199999999998"/>
    <n v="0.1"/>
    <n v="648.72"/>
  </r>
  <r>
    <x v="957"/>
    <x v="77"/>
    <x v="0"/>
    <s v="Sneakers"/>
    <s v="Green"/>
    <s v="USA"/>
    <s v="Online"/>
    <n v="40.33"/>
    <n v="4"/>
    <n v="161.32"/>
    <s v="Jun"/>
    <s v="Low"/>
    <s v="Low"/>
    <n v="-559.48"/>
    <n v="0.1"/>
    <n v="145.18799999999999"/>
  </r>
  <r>
    <x v="958"/>
    <x v="176"/>
    <x v="0"/>
    <s v="Casual"/>
    <s v="Black"/>
    <s v="Germany"/>
    <s v="Online"/>
    <n v="66.58"/>
    <n v="6"/>
    <n v="399.48"/>
    <s v="Mar"/>
    <s v="Low"/>
    <s v="Low"/>
    <n v="238.16000000000003"/>
    <n v="0.1"/>
    <n v="359.53200000000004"/>
  </r>
  <r>
    <x v="959"/>
    <x v="39"/>
    <x v="2"/>
    <s v="Boots"/>
    <s v="Red"/>
    <s v="UAE"/>
    <s v="Retail Store"/>
    <n v="192.37"/>
    <n v="2"/>
    <n v="384.74"/>
    <s v="Feb"/>
    <s v="Low"/>
    <s v="Low"/>
    <n v="-14.740000000000009"/>
    <n v="0.1"/>
    <n v="346.26600000000002"/>
  </r>
  <r>
    <x v="960"/>
    <x v="255"/>
    <x v="1"/>
    <s v="Sneakers"/>
    <s v="Blue"/>
    <s v="USA"/>
    <s v="Retail Store"/>
    <n v="48.22"/>
    <n v="20"/>
    <n v="964.4"/>
    <s v="Sep"/>
    <s v="Low"/>
    <s v="Average"/>
    <n v="579.66"/>
    <n v="0.1"/>
    <n v="867.96"/>
  </r>
  <r>
    <x v="961"/>
    <x v="168"/>
    <x v="1"/>
    <s v="Running"/>
    <s v="Black"/>
    <s v="UK"/>
    <s v="Mall"/>
    <n v="162.69"/>
    <n v="20"/>
    <n v="3253.8"/>
    <s v="Apr"/>
    <s v="High"/>
    <s v="Excellent"/>
    <n v="2289.4"/>
    <n v="0.1"/>
    <n v="2928.42"/>
  </r>
  <r>
    <x v="962"/>
    <x v="116"/>
    <x v="5"/>
    <s v="Boots"/>
    <s v="Black"/>
    <s v="France"/>
    <s v="Mall"/>
    <n v="83.98"/>
    <n v="3"/>
    <n v="251.94"/>
    <s v="Sep"/>
    <s v="Low"/>
    <s v="Low"/>
    <n v="-3001.86"/>
    <n v="0.1"/>
    <n v="226.74600000000001"/>
  </r>
  <r>
    <x v="963"/>
    <x v="172"/>
    <x v="1"/>
    <s v="Running"/>
    <s v="Grey"/>
    <s v="France"/>
    <s v="Mall"/>
    <n v="115.65"/>
    <n v="12"/>
    <n v="1387.8"/>
    <s v="Aug"/>
    <s v="Low"/>
    <s v="Average"/>
    <n v="1135.8599999999999"/>
    <n v="0.1"/>
    <n v="1249.02"/>
  </r>
  <r>
    <x v="964"/>
    <x v="300"/>
    <x v="4"/>
    <s v="Running"/>
    <s v="White"/>
    <s v="India"/>
    <s v="Online"/>
    <n v="93.51"/>
    <n v="3"/>
    <n v="280.52999999999997"/>
    <s v="Jan"/>
    <s v="Low"/>
    <s v="Low"/>
    <n v="-1107.27"/>
    <n v="0.1"/>
    <n v="252.47699999999998"/>
  </r>
  <r>
    <x v="965"/>
    <x v="210"/>
    <x v="2"/>
    <s v="Formal"/>
    <s v="White"/>
    <s v="UK"/>
    <s v="Mall"/>
    <n v="108.25"/>
    <n v="8"/>
    <n v="866"/>
    <s v="Feb"/>
    <s v="Low"/>
    <s v="Average"/>
    <n v="585.47"/>
    <n v="0.1"/>
    <n v="779.4"/>
  </r>
  <r>
    <x v="966"/>
    <x v="139"/>
    <x v="2"/>
    <s v="Boots"/>
    <s v="White"/>
    <s v="India"/>
    <s v="Mall"/>
    <n v="188.19"/>
    <n v="8"/>
    <n v="1505.52"/>
    <s v="Dec"/>
    <s v="Low"/>
    <s v="Good"/>
    <n v="639.52"/>
    <n v="0.1"/>
    <n v="1354.9680000000001"/>
  </r>
  <r>
    <x v="967"/>
    <x v="14"/>
    <x v="1"/>
    <s v="Running"/>
    <s v="Green"/>
    <s v="India"/>
    <s v="Retail Store"/>
    <n v="95.37"/>
    <n v="14"/>
    <n v="1335.18"/>
    <s v="Oct"/>
    <s v="Low"/>
    <s v="Average"/>
    <n v="-170.33999999999992"/>
    <n v="0.1"/>
    <n v="1201.662"/>
  </r>
  <r>
    <x v="968"/>
    <x v="151"/>
    <x v="1"/>
    <s v="Boots"/>
    <s v="Red"/>
    <s v="USA"/>
    <s v="Online"/>
    <n v="154.61000000000001"/>
    <n v="15"/>
    <n v="2319.15"/>
    <s v="Dec"/>
    <s v="High"/>
    <s v="Good"/>
    <n v="983.97"/>
    <n v="0.1"/>
    <n v="2087.2350000000001"/>
  </r>
  <r>
    <x v="969"/>
    <x v="212"/>
    <x v="5"/>
    <s v="Sneakers"/>
    <s v="Blue"/>
    <s v="UAE"/>
    <s v="Online"/>
    <n v="134.72999999999999"/>
    <n v="18"/>
    <n v="2425.14"/>
    <s v="Apr"/>
    <s v="High"/>
    <s v="Good"/>
    <n v="105.98999999999978"/>
    <n v="0.1"/>
    <n v="2182.6259999999997"/>
  </r>
  <r>
    <x v="970"/>
    <x v="123"/>
    <x v="5"/>
    <s v="Sports"/>
    <s v="Blue"/>
    <s v="India"/>
    <s v="Retail Store"/>
    <n v="176.01"/>
    <n v="20"/>
    <n v="3520.2"/>
    <s v="Oct"/>
    <s v="High"/>
    <s v="Excellent"/>
    <n v="1095.06"/>
    <n v="0.1"/>
    <n v="3168.18"/>
  </r>
  <r>
    <x v="971"/>
    <x v="295"/>
    <x v="1"/>
    <s v="Formal"/>
    <s v="Green"/>
    <s v="France"/>
    <s v="Mall"/>
    <n v="236.1"/>
    <n v="14"/>
    <n v="3305.4"/>
    <s v="Jul"/>
    <s v="High"/>
    <s v="Excellent"/>
    <n v="-214.79999999999973"/>
    <n v="0.1"/>
    <n v="2974.86"/>
  </r>
  <r>
    <x v="972"/>
    <x v="155"/>
    <x v="2"/>
    <s v="Casual"/>
    <s v="Red"/>
    <s v="Saudi Arabia"/>
    <s v="Mall"/>
    <n v="191.17"/>
    <n v="19"/>
    <n v="3632.23"/>
    <s v="May"/>
    <s v="High"/>
    <s v="Excellent"/>
    <n v="326.82999999999993"/>
    <n v="0.1"/>
    <n v="3269.0070000000001"/>
  </r>
  <r>
    <x v="973"/>
    <x v="156"/>
    <x v="5"/>
    <s v="Formal"/>
    <s v="Red"/>
    <s v="USA"/>
    <s v="Mall"/>
    <n v="77.290000000000006"/>
    <n v="12"/>
    <n v="927.48"/>
    <s v="May"/>
    <s v="Low"/>
    <s v="Average"/>
    <n v="-2704.75"/>
    <n v="0.1"/>
    <n v="834.73200000000008"/>
  </r>
  <r>
    <x v="974"/>
    <x v="308"/>
    <x v="2"/>
    <s v="Running"/>
    <s v="Grey"/>
    <s v="UK"/>
    <s v="Retail Store"/>
    <n v="36.86"/>
    <n v="10"/>
    <n v="368.6"/>
    <s v="Jan"/>
    <s v="Low"/>
    <s v="Low"/>
    <n v="-558.88"/>
    <n v="0.1"/>
    <n v="331.74"/>
  </r>
  <r>
    <x v="975"/>
    <x v="94"/>
    <x v="3"/>
    <s v="Casual"/>
    <s v="Blue"/>
    <s v="USA"/>
    <s v="Mall"/>
    <n v="87.7"/>
    <n v="10"/>
    <n v="877"/>
    <s v="Jan"/>
    <s v="Low"/>
    <s v="Average"/>
    <n v="508.4"/>
    <n v="0.1"/>
    <n v="789.30000000000007"/>
  </r>
  <r>
    <x v="976"/>
    <x v="173"/>
    <x v="2"/>
    <s v="Sneakers"/>
    <s v="Grey"/>
    <s v="India"/>
    <s v="Online"/>
    <n v="160.91999999999999"/>
    <n v="18"/>
    <n v="2896.56"/>
    <s v="May"/>
    <s v="High"/>
    <s v="Good"/>
    <n v="2019.56"/>
    <n v="0.1"/>
    <n v="2606.904"/>
  </r>
  <r>
    <x v="977"/>
    <x v="340"/>
    <x v="5"/>
    <s v="Sports"/>
    <s v="White"/>
    <s v="UK"/>
    <s v="Retail Store"/>
    <n v="41.31"/>
    <n v="2"/>
    <n v="82.62"/>
    <s v="Feb"/>
    <s v="Low"/>
    <s v="Low"/>
    <n v="-2813.94"/>
    <n v="0.1"/>
    <n v="74.358000000000004"/>
  </r>
  <r>
    <x v="978"/>
    <x v="237"/>
    <x v="3"/>
    <s v="Casual"/>
    <s v="Blue"/>
    <s v="Saudi Arabia"/>
    <s v="Retail Store"/>
    <n v="139.19999999999999"/>
    <n v="19"/>
    <n v="2644.8"/>
    <s v="Jul"/>
    <s v="High"/>
    <s v="Good"/>
    <n v="2562.1800000000003"/>
    <n v="0.1"/>
    <n v="2380.3200000000002"/>
  </r>
  <r>
    <x v="979"/>
    <x v="143"/>
    <x v="5"/>
    <s v="Sneakers"/>
    <s v="White"/>
    <s v="UAE"/>
    <s v="Online"/>
    <n v="161.31"/>
    <n v="19"/>
    <n v="3064.89"/>
    <s v="Feb"/>
    <s v="High"/>
    <s v="Excellent"/>
    <n v="420.08999999999969"/>
    <n v="0.1"/>
    <n v="2758.4009999999998"/>
  </r>
  <r>
    <x v="980"/>
    <x v="182"/>
    <x v="3"/>
    <s v="Formal"/>
    <s v="Green"/>
    <s v="UAE"/>
    <s v="Mall"/>
    <n v="103.53"/>
    <n v="16"/>
    <n v="1656.48"/>
    <s v="Jun"/>
    <s v="Low"/>
    <s v="Good"/>
    <n v="-1408.4099999999999"/>
    <n v="0.1"/>
    <n v="1490.8320000000001"/>
  </r>
  <r>
    <x v="981"/>
    <x v="340"/>
    <x v="1"/>
    <s v="Sports"/>
    <s v="Black"/>
    <s v="UAE"/>
    <s v="Mall"/>
    <n v="199.6"/>
    <n v="20"/>
    <n v="3992"/>
    <s v="Feb"/>
    <s v="High"/>
    <s v="Excellent"/>
    <n v="2335.52"/>
    <n v="0.1"/>
    <n v="3592.8"/>
  </r>
  <r>
    <x v="982"/>
    <x v="20"/>
    <x v="0"/>
    <s v="Sports"/>
    <s v="Blue"/>
    <s v="Saudi Arabia"/>
    <s v="Retail Store"/>
    <n v="53.45"/>
    <n v="3"/>
    <n v="160.35"/>
    <s v="Jul"/>
    <s v="Low"/>
    <s v="Low"/>
    <n v="-3831.65"/>
    <n v="0.1"/>
    <n v="144.315"/>
  </r>
  <r>
    <x v="983"/>
    <x v="232"/>
    <x v="3"/>
    <s v="Boots"/>
    <s v="Green"/>
    <s v="Saudi Arabia"/>
    <s v="Mall"/>
    <n v="46.53"/>
    <n v="4"/>
    <n v="186.12"/>
    <s v="Aug"/>
    <s v="Low"/>
    <s v="Low"/>
    <n v="25.77000000000001"/>
    <n v="0.1"/>
    <n v="167.50800000000001"/>
  </r>
  <r>
    <x v="984"/>
    <x v="114"/>
    <x v="0"/>
    <s v="Sports"/>
    <s v="Grey"/>
    <s v="USA"/>
    <s v="Retail Store"/>
    <n v="190.2"/>
    <n v="13"/>
    <n v="2472.6"/>
    <s v="Jan"/>
    <s v="High"/>
    <s v="Good"/>
    <n v="2286.48"/>
    <n v="0.1"/>
    <n v="2225.34"/>
  </r>
  <r>
    <x v="985"/>
    <x v="24"/>
    <x v="3"/>
    <s v="Sports"/>
    <s v="Grey"/>
    <s v="UAE"/>
    <s v="Online"/>
    <n v="139.01"/>
    <n v="19"/>
    <n v="2641.19"/>
    <s v="Oct"/>
    <s v="High"/>
    <s v="Good"/>
    <n v="168.59000000000015"/>
    <n v="0.1"/>
    <n v="2377.0709999999999"/>
  </r>
  <r>
    <x v="986"/>
    <x v="19"/>
    <x v="1"/>
    <s v="Boots"/>
    <s v="Red"/>
    <s v="Germany"/>
    <s v="Mall"/>
    <n v="181.45"/>
    <n v="2"/>
    <n v="362.9"/>
    <s v="Mar"/>
    <s v="Low"/>
    <s v="Low"/>
    <n v="-2278.29"/>
    <n v="0.1"/>
    <n v="326.61"/>
  </r>
  <r>
    <x v="987"/>
    <x v="260"/>
    <x v="0"/>
    <s v="Casual"/>
    <s v="Red"/>
    <s v="France"/>
    <s v="Retail Store"/>
    <n v="125.66"/>
    <n v="17"/>
    <n v="2136.2199999999998"/>
    <s v="Oct"/>
    <s v="High"/>
    <s v="Good"/>
    <n v="1773.3199999999997"/>
    <n v="0.1"/>
    <n v="1922.598"/>
  </r>
  <r>
    <x v="988"/>
    <x v="60"/>
    <x v="4"/>
    <s v="Running"/>
    <s v="Red"/>
    <s v="India"/>
    <s v="Mall"/>
    <n v="84.21"/>
    <n v="5"/>
    <n v="421.05"/>
    <s v="Mar"/>
    <s v="Low"/>
    <s v="Low"/>
    <n v="-1715.1699999999998"/>
    <n v="0.1"/>
    <n v="378.94499999999999"/>
  </r>
  <r>
    <x v="989"/>
    <x v="160"/>
    <x v="5"/>
    <s v="Sports"/>
    <s v="Black"/>
    <s v="Germany"/>
    <s v="Mall"/>
    <n v="210.2"/>
    <n v="18"/>
    <n v="3783.6"/>
    <s v="Jan"/>
    <s v="High"/>
    <s v="Excellent"/>
    <n v="3362.5499999999997"/>
    <n v="0.1"/>
    <n v="3405.24"/>
  </r>
  <r>
    <x v="990"/>
    <x v="292"/>
    <x v="3"/>
    <s v="Formal"/>
    <s v="Grey"/>
    <s v="UK"/>
    <s v="Retail Store"/>
    <n v="205.87"/>
    <n v="5"/>
    <n v="1029.3499999999999"/>
    <s v="Aug"/>
    <s v="Low"/>
    <s v="Average"/>
    <n v="-2754.25"/>
    <n v="0.1"/>
    <n v="926.41499999999996"/>
  </r>
  <r>
    <x v="991"/>
    <x v="159"/>
    <x v="3"/>
    <s v="Sneakers"/>
    <s v="Grey"/>
    <s v="UAE"/>
    <s v="Mall"/>
    <n v="182.83"/>
    <n v="19"/>
    <n v="3473.77"/>
    <s v="Jul"/>
    <s v="High"/>
    <s v="Excellent"/>
    <n v="2444.42"/>
    <n v="0.1"/>
    <n v="3126.393"/>
  </r>
  <r>
    <x v="992"/>
    <x v="102"/>
    <x v="0"/>
    <s v="Sports"/>
    <s v="Red"/>
    <s v="France"/>
    <s v="Mall"/>
    <n v="89.87"/>
    <n v="8"/>
    <n v="718.96"/>
    <s v="May"/>
    <s v="Low"/>
    <s v="Average"/>
    <n v="-2754.81"/>
    <n v="0.1"/>
    <n v="647.06400000000008"/>
  </r>
  <r>
    <x v="993"/>
    <x v="260"/>
    <x v="0"/>
    <s v="Boots"/>
    <s v="Red"/>
    <s v="Germany"/>
    <s v="Retail Store"/>
    <n v="159.85"/>
    <n v="3"/>
    <n v="479.55"/>
    <s v="Oct"/>
    <s v="Low"/>
    <s v="Low"/>
    <n v="-239.41000000000003"/>
    <n v="0.1"/>
    <n v="431.59500000000003"/>
  </r>
  <r>
    <x v="994"/>
    <x v="196"/>
    <x v="4"/>
    <s v="Sports"/>
    <s v="Grey"/>
    <s v="UAE"/>
    <s v="Online"/>
    <n v="109.41"/>
    <n v="7"/>
    <n v="765.87"/>
    <s v="Jun"/>
    <s v="Low"/>
    <s v="Average"/>
    <n v="286.32"/>
    <n v="0.1"/>
    <n v="689.28300000000002"/>
  </r>
  <r>
    <x v="995"/>
    <x v="341"/>
    <x v="4"/>
    <s v="Sneakers"/>
    <s v="Red"/>
    <s v="India"/>
    <s v="Online"/>
    <n v="50.15"/>
    <n v="6"/>
    <n v="300.89999999999998"/>
    <s v="Jun"/>
    <s v="Low"/>
    <s v="Low"/>
    <n v="-464.97"/>
    <n v="0.1"/>
    <n v="270.81"/>
  </r>
  <r>
    <x v="996"/>
    <x v="89"/>
    <x v="3"/>
    <s v="Casual"/>
    <s v="Green"/>
    <s v="France"/>
    <s v="Online"/>
    <n v="231.81"/>
    <n v="2"/>
    <n v="463.62"/>
    <s v="Aug"/>
    <s v="Low"/>
    <s v="Low"/>
    <n v="162.72000000000003"/>
    <n v="0.1"/>
    <n v="417.25800000000004"/>
  </r>
  <r>
    <x v="997"/>
    <x v="275"/>
    <x v="1"/>
    <s v="Running"/>
    <s v="White"/>
    <s v="India"/>
    <s v="Online"/>
    <n v="60.1"/>
    <n v="4"/>
    <n v="240.4"/>
    <s v="Feb"/>
    <s v="Low"/>
    <s v="Low"/>
    <n v="-223.22"/>
    <n v="0.1"/>
    <n v="216.36"/>
  </r>
  <r>
    <x v="998"/>
    <x v="138"/>
    <x v="4"/>
    <s v="Boots"/>
    <s v="Black"/>
    <s v="France"/>
    <s v="Retail Store"/>
    <n v="239.05"/>
    <n v="1"/>
    <n v="239.05"/>
    <s v="May"/>
    <s v="Low"/>
    <s v="Low"/>
    <n v="-1.3499999999999943"/>
    <n v="0.1"/>
    <n v="215.14500000000001"/>
  </r>
  <r>
    <x v="999"/>
    <x v="145"/>
    <x v="4"/>
    <s v="Casual"/>
    <s v="Green"/>
    <s v="India"/>
    <s v="Online"/>
    <n v="128.12"/>
    <n v="1"/>
    <n v="128.12"/>
    <s v="Aug"/>
    <s v="Low"/>
    <s v="Low"/>
    <n v="-110.93"/>
    <n v="0.1"/>
    <n v="115.308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4B4CA6-7E05-46E5-A319-97BEF4226F2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6">
    <pivotField showAll="0"/>
    <pivotField numFmtId="164" showAll="0"/>
    <pivotField axis="axisRow" showAll="0">
      <items count="7">
        <item x="3"/>
        <item x="2"/>
        <item x="0"/>
        <item x="4"/>
        <item x="5"/>
        <item x="1"/>
        <item t="default"/>
      </items>
    </pivotField>
    <pivotField showAll="0"/>
    <pivotField showAll="0">
      <items count="7">
        <item h="1" x="5"/>
        <item h="1" x="0"/>
        <item h="1" x="3"/>
        <item h="1" x="1"/>
        <item h="1" x="4"/>
        <item x="2"/>
        <item t="default"/>
      </items>
    </pivotField>
    <pivotField showAll="0">
      <items count="8">
        <item h="1" x="3"/>
        <item h="1" x="6"/>
        <item h="1" x="5"/>
        <item h="1" x="4"/>
        <item x="2"/>
        <item x="0"/>
        <item h="1" x="1"/>
        <item t="default"/>
      </items>
    </pivotField>
    <pivotField showAll="0"/>
    <pivotField showAll="0"/>
    <pivotField showAll="0"/>
    <pivotField dataField="1" showAll="0"/>
    <pivotField showAll="0"/>
    <pivotField showAll="0"/>
    <pivotField showAll="0"/>
    <pivotField showAll="0"/>
    <pivotField numFmtId="9" showAll="0"/>
    <pivotField showAll="0"/>
  </pivotFields>
  <rowFields count="1">
    <field x="2"/>
  </rowFields>
  <rowItems count="7">
    <i>
      <x/>
    </i>
    <i>
      <x v="1"/>
    </i>
    <i>
      <x v="2"/>
    </i>
    <i>
      <x v="3"/>
    </i>
    <i>
      <x v="4"/>
    </i>
    <i>
      <x v="5"/>
    </i>
    <i t="grand">
      <x/>
    </i>
  </rowItems>
  <colItems count="1">
    <i/>
  </colItems>
  <dataFields count="1">
    <dataField name="Sum of Revenue_USD"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FC8828-9E04-41EB-8C90-F0B43602FCA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6">
    <pivotField showAll="0"/>
    <pivotField numFmtId="16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pivotField showAll="0"/>
    <pivotField showAll="0"/>
    <pivotField showAll="0"/>
    <pivotField showAll="0"/>
    <pivotField showAll="0"/>
    <pivotField showAll="0"/>
    <pivotField dataField="1" showAll="0"/>
    <pivotField axis="axisRow" showAll="0">
      <items count="13">
        <item x="11"/>
        <item x="4"/>
        <item x="1"/>
        <item x="10"/>
        <item x="6"/>
        <item x="7"/>
        <item x="5"/>
        <item x="2"/>
        <item x="9"/>
        <item x="3"/>
        <item x="0"/>
        <item x="8"/>
        <item t="default"/>
      </items>
    </pivotField>
    <pivotField showAll="0"/>
    <pivotField showAll="0"/>
    <pivotField showAll="0"/>
    <pivotField numFmtId="9"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_USD" fld="9"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63245C-741B-47B9-BD74-F85F565CF28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6">
    <pivotField showAll="0"/>
    <pivotField numFmtId="164"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pivotField showAll="0"/>
    <pivotField numFmtId="9" showAll="0"/>
    <pivotField showAll="0"/>
  </pivotFields>
  <rowFields count="1">
    <field x="6"/>
  </rowFields>
  <rowItems count="4">
    <i>
      <x/>
    </i>
    <i>
      <x v="1"/>
    </i>
    <i>
      <x v="2"/>
    </i>
    <i t="grand">
      <x/>
    </i>
  </rowItems>
  <colItems count="1">
    <i/>
  </colItems>
  <dataFields count="1">
    <dataField name="Sum of Revenue_USD"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59D848-46FA-4AA5-8100-F9E7CB82224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9" firstHeaderRow="1" firstDataRow="1" firstDataCol="1"/>
  <pivotFields count="16">
    <pivotField showAll="0"/>
    <pivotField numFmtId="164" showAll="0"/>
    <pivotField showAll="0">
      <items count="7">
        <item x="3"/>
        <item x="2"/>
        <item x="0"/>
        <item x="4"/>
        <item x="5"/>
        <item x="1"/>
        <item t="default"/>
      </items>
    </pivotField>
    <pivotField showAll="0"/>
    <pivotField showAll="0"/>
    <pivotField axis="axisRow" showAll="0">
      <items count="8">
        <item x="3"/>
        <item x="6"/>
        <item x="5"/>
        <item x="4"/>
        <item x="2"/>
        <item x="0"/>
        <item x="1"/>
        <item t="default"/>
      </items>
    </pivotField>
    <pivotField showAll="0"/>
    <pivotField showAll="0"/>
    <pivotField showAll="0"/>
    <pivotField dataField="1" showAll="0"/>
    <pivotField showAll="0"/>
    <pivotField showAll="0"/>
    <pivotField showAll="0"/>
    <pivotField showAll="0"/>
    <pivotField numFmtId="9" showAll="0"/>
    <pivotField showAll="0"/>
  </pivotFields>
  <rowFields count="1">
    <field x="5"/>
  </rowFields>
  <rowItems count="8">
    <i>
      <x/>
    </i>
    <i>
      <x v="1"/>
    </i>
    <i>
      <x v="2"/>
    </i>
    <i>
      <x v="3"/>
    </i>
    <i>
      <x v="4"/>
    </i>
    <i>
      <x v="5"/>
    </i>
    <i>
      <x v="6"/>
    </i>
    <i t="grand">
      <x/>
    </i>
  </rowItems>
  <colItems count="1">
    <i/>
  </colItems>
  <dataFields count="1">
    <dataField name="Sum of Revenue_USD"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235893-17A4-42F6-949F-1D54E91DF486}"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C11" firstHeaderRow="0" firstDataRow="1" firstDataCol="1"/>
  <pivotFields count="16">
    <pivotField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6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pivotField showAll="0"/>
    <pivotField showAll="0"/>
    <pivotField axis="axisRow" showAll="0">
      <items count="8">
        <item x="3"/>
        <item x="6"/>
        <item x="5"/>
        <item x="4"/>
        <item x="2"/>
        <item x="0"/>
        <item x="1"/>
        <item t="default"/>
      </items>
    </pivotField>
    <pivotField showAll="0"/>
    <pivotField dataField="1" showAll="0"/>
    <pivotField showAll="0"/>
    <pivotField dataField="1" showAll="0"/>
    <pivotField showAll="0"/>
    <pivotField showAll="0"/>
    <pivotField showAll="0"/>
    <pivotField showAll="0"/>
    <pivotField numFmtId="9" showAll="0"/>
    <pivotField showAll="0"/>
  </pivotFields>
  <rowFields count="1">
    <field x="5"/>
  </rowFields>
  <rowItems count="8">
    <i>
      <x/>
    </i>
    <i>
      <x v="1"/>
    </i>
    <i>
      <x v="2"/>
    </i>
    <i>
      <x v="3"/>
    </i>
    <i>
      <x v="4"/>
    </i>
    <i>
      <x v="5"/>
    </i>
    <i>
      <x v="6"/>
    </i>
    <i t="grand">
      <x/>
    </i>
  </rowItems>
  <colFields count="1">
    <field x="-2"/>
  </colFields>
  <colItems count="2">
    <i>
      <x/>
    </i>
    <i i="1">
      <x v="1"/>
    </i>
  </colItems>
  <dataFields count="2">
    <dataField name="Sum of Price_USD" fld="7" baseField="0" baseItem="0"/>
    <dataField name="Sum of Revenue_USD" fld="9" baseField="0" baseItem="0"/>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677E9-9CB4-44D3-8F21-BBCE577C5207}"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10" firstHeaderRow="0" firstDataRow="1" firstDataCol="1"/>
  <pivotFields count="16">
    <pivotField axis="axisRow"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6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items count="7">
        <item sd="0" x="3"/>
        <item sd="0" x="2"/>
        <item sd="0" x="0"/>
        <item sd="0" x="4"/>
        <item sd="0" x="5"/>
        <item sd="0" x="1"/>
        <item t="default" sd="0"/>
      </items>
    </pivotField>
    <pivotField showAll="0"/>
    <pivotField showAll="0"/>
    <pivotField showAll="0"/>
    <pivotField showAll="0"/>
    <pivotField showAll="0"/>
    <pivotField showAll="0"/>
    <pivotField dataField="1" showAll="0"/>
    <pivotField showAll="0"/>
    <pivotField showAll="0"/>
    <pivotField showAll="0"/>
    <pivotField showAll="0"/>
    <pivotField numFmtId="9" showAll="0"/>
    <pivotField dataField="1" showAll="0"/>
  </pivotFields>
  <rowFields count="2">
    <field x="2"/>
    <field x="0"/>
  </rowFields>
  <rowItems count="7">
    <i>
      <x/>
    </i>
    <i>
      <x v="1"/>
    </i>
    <i>
      <x v="2"/>
    </i>
    <i>
      <x v="3"/>
    </i>
    <i>
      <x v="4"/>
    </i>
    <i>
      <x v="5"/>
    </i>
    <i t="grand">
      <x/>
    </i>
  </rowItems>
  <colFields count="1">
    <field x="-2"/>
  </colFields>
  <colItems count="2">
    <i>
      <x/>
    </i>
    <i i="1">
      <x v="1"/>
    </i>
  </colItems>
  <dataFields count="2">
    <dataField name="Sum of Adjust revenue" fld="15" baseField="0" baseItem="0"/>
    <dataField name="Sum of Revenue_USD"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TableStyleLight10" showRowHeaders="1" showColHeaders="1" showRowStripes="0" showColStripes="0" showLastColumn="1"/>
  <filters count="1">
    <filter fld="1" type="dateBetween" evalOrder="-1" id="6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3557146-3CC6-4C27-AA4B-B70085B768A2}" sourceName="Country">
  <pivotTables>
    <pivotTable tabId="6" name="PivotTable1"/>
  </pivotTables>
  <data>
    <tabular pivotCacheId="1618852587">
      <items count="7">
        <i x="3"/>
        <i x="6"/>
        <i x="5"/>
        <i x="4"/>
        <i x="2"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4945764-5C3C-4274-8B45-53A1926218D8}" sourceName="Brand">
  <pivotTables>
    <pivotTable tabId="9" name="PivotTable6"/>
  </pivotTables>
  <data>
    <tabular pivotCacheId="1618852587">
      <items count="6">
        <i x="3" s="1"/>
        <i x="2" s="1"/>
        <i x="0" s="1"/>
        <i x="4"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DF7F188-3628-4CB8-B117-B36299839337}" cache="Slicer_Country" caption="Country" style="SlicerStyleOther2" rowHeight="209550"/>
  <slicer name="Brand 1" xr10:uid="{4754288D-C66A-4713-A9F5-5808E5F2F75D}" cache="Slicer_Brand" caption="Brand" style="SlicerStyleOther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F03B2A0-2861-408E-8243-30C902FA5427}" cache="Slicer_Country" caption="Country" style="SlicerStyleOther2"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FD3D1103-0C5D-4FA2-9705-06095C58AC08}" cache="Slicer_Brand" caption="Brand" style="SlicerStyleOther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99A0F7-62CB-4F08-AA7C-0310F4E88165}" name="Table2" displayName="Table2" ref="A1:P1002" totalsRowCount="1">
  <autoFilter ref="A1:P1001" xr:uid="{FA99A0F7-62CB-4F08-AA7C-0310F4E88165}"/>
  <tableColumns count="16">
    <tableColumn id="1" xr3:uid="{9475B3DB-3509-4FFD-A233-C551A85327FB}" name="Sale_ID"/>
    <tableColumn id="2" xr3:uid="{44062703-6BAB-43EE-8B7D-274FD33217F7}" name="Date" dataDxfId="14" totalsRowDxfId="6"/>
    <tableColumn id="3" xr3:uid="{102E5B81-0332-4ACD-8312-F90BA4D71CDB}" name="Brand"/>
    <tableColumn id="4" xr3:uid="{4315735C-3971-4B1D-A61E-4CDC61B6AC04}" name="Shoe_Type"/>
    <tableColumn id="5" xr3:uid="{8BDA5505-4A65-422A-AFED-B229AD7C3863}" name="Color"/>
    <tableColumn id="6" xr3:uid="{2038E51C-3BB2-411B-A670-8D4AEED940C8}" name="Country"/>
    <tableColumn id="7" xr3:uid="{DE25135D-B237-49F1-BBFA-B613E538D495}" name="Sales_Channel"/>
    <tableColumn id="8" xr3:uid="{27804A2E-A4DB-444C-A6F9-8713F157796B}" name="Price_USD"/>
    <tableColumn id="9" xr3:uid="{DE34D72F-DE6F-4B50-82E5-CCB19F14B64A}" name="Units_Sold" totalsRowFunction="sum"/>
    <tableColumn id="10" xr3:uid="{084988B5-3B1F-4835-8059-273057498A4D}" name="Revenue_USD" totalsRowFunction="custom">
      <totalsRowFormula>SUM(J2:J1001)</totalsRowFormula>
    </tableColumn>
    <tableColumn id="11" xr3:uid="{C4840AAB-8546-4042-9D83-855D766BAD41}" name="Month" dataDxfId="13" totalsRowDxfId="5">
      <calculatedColumnFormula>TEXT(B2,"MMM")</calculatedColumnFormula>
    </tableColumn>
    <tableColumn id="13" xr3:uid="{6ADADB24-9BE4-4BF7-9957-19D7F66B401E}" name="High Value Sale" dataDxfId="12" totalsRowDxfId="4">
      <calculatedColumnFormula>IF(J2&gt;2000,"High","Low")</calculatedColumnFormula>
    </tableColumn>
    <tableColumn id="14" xr3:uid="{F0614B52-7DA3-44AF-A931-AA2352EB840B}" name="Performance Category" dataDxfId="11" totalsRowDxfId="3">
      <calculatedColumnFormula>IF(J2&gt;3000,"Excellent",
 IF(J2&gt;1500,"Good",
 IF(J2&gt;500,"Average","Low")))</calculatedColumnFormula>
    </tableColumn>
    <tableColumn id="15" xr3:uid="{0BB18FF7-DD8F-4CD9-8419-B436A52ABE2B}" name="Growth" dataDxfId="10" totalsRowDxfId="2">
      <calculatedColumnFormula>J2-J1</calculatedColumnFormula>
    </tableColumn>
    <tableColumn id="16" xr3:uid="{D9FD699E-3512-4B01-8E30-3EDF4F83E960}" name="Discount" dataDxfId="9" totalsRowDxfId="1"/>
    <tableColumn id="17" xr3:uid="{19B42355-B18B-41FD-9E80-62B2D6B648E3}" name="Adjust revenue" totalsRowFunction="sum" dataDxfId="8" totalsRowDxfId="0">
      <calculatedColumnFormula>J2*(1-O2)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86DD32-0C6B-4764-8C58-F2778130562D}" sourceName="Date">
  <pivotTables>
    <pivotTable tabId="10" name="PivotTable3"/>
  </pivotTables>
  <state minimalRefreshVersion="6" lastRefreshVersion="6" pivotCacheId="161885258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7388150-BBA3-450C-8602-B2D9B8C9DA56}" cache="NativeTimeline_Date" caption="Date" level="2" selectionLevel="2" scrollPosition="2025-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6999241-E487-4687-ABFF-FD867F497371}" cache="NativeTimeline_Date" caption="Date" level="2" selectionLevel="2" scrollPosition="2025-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2"/>
  <sheetViews>
    <sheetView zoomScale="90" zoomScaleNormal="90" workbookViewId="0">
      <selection activeCell="G22" sqref="G22"/>
    </sheetView>
  </sheetViews>
  <sheetFormatPr defaultColWidth="11.5546875" defaultRowHeight="13.2" x14ac:dyDescent="0.25"/>
  <cols>
    <col min="1" max="1" width="9.33203125" customWidth="1"/>
    <col min="2" max="2" width="10.44140625" customWidth="1"/>
    <col min="3" max="3" width="12.109375" customWidth="1"/>
    <col min="4" max="4" width="12.5546875" customWidth="1"/>
    <col min="5" max="5" width="7.6640625" customWidth="1"/>
    <col min="6" max="6" width="11.88671875" customWidth="1"/>
    <col min="7" max="7" width="15.6640625" customWidth="1"/>
    <col min="8" max="8" width="12.21875" customWidth="1"/>
    <col min="9" max="9" width="12.33203125" customWidth="1"/>
    <col min="10" max="10" width="15.77734375" bestFit="1" customWidth="1"/>
    <col min="12" max="12" width="16.88671875" bestFit="1" customWidth="1"/>
    <col min="13" max="13" width="23.109375" bestFit="1" customWidth="1"/>
    <col min="16" max="16" width="16.44140625" bestFit="1" customWidth="1"/>
  </cols>
  <sheetData>
    <row r="1" spans="1:16" x14ac:dyDescent="0.25">
      <c r="A1" t="s">
        <v>0</v>
      </c>
      <c r="B1" t="s">
        <v>1</v>
      </c>
      <c r="C1" t="s">
        <v>2</v>
      </c>
      <c r="D1" t="s">
        <v>3</v>
      </c>
      <c r="E1" t="s">
        <v>4</v>
      </c>
      <c r="F1" t="s">
        <v>5</v>
      </c>
      <c r="G1" t="s">
        <v>6</v>
      </c>
      <c r="H1" t="s">
        <v>7</v>
      </c>
      <c r="I1" t="s">
        <v>8</v>
      </c>
      <c r="J1" t="s">
        <v>9</v>
      </c>
      <c r="K1" t="s">
        <v>1038</v>
      </c>
      <c r="L1" t="s">
        <v>1039</v>
      </c>
      <c r="M1" t="s">
        <v>1040</v>
      </c>
      <c r="N1" t="s">
        <v>1041</v>
      </c>
      <c r="O1" t="s">
        <v>1043</v>
      </c>
      <c r="P1" t="s">
        <v>1044</v>
      </c>
    </row>
    <row r="2" spans="1:16" x14ac:dyDescent="0.25">
      <c r="A2" t="s">
        <v>10</v>
      </c>
      <c r="B2" s="1">
        <v>45985</v>
      </c>
      <c r="C2" t="s">
        <v>11</v>
      </c>
      <c r="D2" t="s">
        <v>12</v>
      </c>
      <c r="E2" t="s">
        <v>13</v>
      </c>
      <c r="F2" t="s">
        <v>14</v>
      </c>
      <c r="G2" t="s">
        <v>15</v>
      </c>
      <c r="H2">
        <v>112.4</v>
      </c>
      <c r="I2">
        <v>4</v>
      </c>
      <c r="J2">
        <v>449.6</v>
      </c>
      <c r="K2" t="str">
        <f t="shared" ref="K2:K65" si="0">TEXT(B2,"MMM")</f>
        <v>Nov</v>
      </c>
      <c r="L2" t="str">
        <f t="shared" ref="L2:L65" si="1">IF(J2&gt;2000,"High","Low")</f>
        <v>Low</v>
      </c>
      <c r="M2" t="str">
        <f>IF(J2&gt;3000,"Excellent",
 IF(J2&gt;1500,"Good",
 IF(J2&gt;500,"Average","Low")))</f>
        <v>Low</v>
      </c>
      <c r="N2">
        <v>0</v>
      </c>
      <c r="O2" s="6">
        <v>0.5</v>
      </c>
      <c r="P2">
        <f t="shared" ref="P2:P65" si="2">J2*(1-O2)</f>
        <v>224.8</v>
      </c>
    </row>
    <row r="3" spans="1:16" x14ac:dyDescent="0.25">
      <c r="A3" t="s">
        <v>16</v>
      </c>
      <c r="B3" s="1">
        <v>45729</v>
      </c>
      <c r="C3" t="s">
        <v>17</v>
      </c>
      <c r="D3" t="s">
        <v>12</v>
      </c>
      <c r="E3" t="s">
        <v>18</v>
      </c>
      <c r="F3" t="s">
        <v>19</v>
      </c>
      <c r="G3" t="s">
        <v>20</v>
      </c>
      <c r="H3">
        <v>239.16</v>
      </c>
      <c r="I3">
        <v>4</v>
      </c>
      <c r="J3">
        <v>956.64</v>
      </c>
      <c r="K3" t="str">
        <f t="shared" si="0"/>
        <v>Mar</v>
      </c>
      <c r="L3" t="str">
        <f t="shared" si="1"/>
        <v>Low</v>
      </c>
      <c r="M3" t="str">
        <f t="shared" ref="M3:M65" si="3">IF(J3&gt;3000,"Excellent",
 IF(J3&gt;1500,"Good",
 IF(J3&gt;500,"Average","Low")))</f>
        <v>Average</v>
      </c>
      <c r="N3">
        <f t="shared" ref="N3:N66" si="4">J3-J2</f>
        <v>507.03999999999996</v>
      </c>
      <c r="O3" s="6">
        <v>0.2</v>
      </c>
      <c r="P3">
        <f t="shared" si="2"/>
        <v>765.31200000000001</v>
      </c>
    </row>
    <row r="4" spans="1:16" x14ac:dyDescent="0.25">
      <c r="A4" t="s">
        <v>21</v>
      </c>
      <c r="B4" s="1">
        <v>45874</v>
      </c>
      <c r="C4" t="s">
        <v>11</v>
      </c>
      <c r="D4" t="s">
        <v>22</v>
      </c>
      <c r="E4" t="s">
        <v>23</v>
      </c>
      <c r="F4" t="s">
        <v>14</v>
      </c>
      <c r="G4" t="s">
        <v>20</v>
      </c>
      <c r="H4">
        <v>191.04</v>
      </c>
      <c r="I4">
        <v>2</v>
      </c>
      <c r="J4">
        <v>382.08</v>
      </c>
      <c r="K4" t="str">
        <f t="shared" si="0"/>
        <v>Aug</v>
      </c>
      <c r="L4" t="str">
        <f t="shared" si="1"/>
        <v>Low</v>
      </c>
      <c r="M4" t="str">
        <f t="shared" si="3"/>
        <v>Low</v>
      </c>
      <c r="N4">
        <f t="shared" si="4"/>
        <v>-574.55999999999995</v>
      </c>
      <c r="O4" s="6">
        <v>0.1</v>
      </c>
      <c r="P4">
        <f>J4*(1-O4)</f>
        <v>343.87200000000001</v>
      </c>
    </row>
    <row r="5" spans="1:16" x14ac:dyDescent="0.25">
      <c r="A5" t="s">
        <v>24</v>
      </c>
      <c r="B5" s="1">
        <v>45966</v>
      </c>
      <c r="C5" t="s">
        <v>25</v>
      </c>
      <c r="D5" t="s">
        <v>26</v>
      </c>
      <c r="E5" t="s">
        <v>27</v>
      </c>
      <c r="F5" t="s">
        <v>28</v>
      </c>
      <c r="G5" t="s">
        <v>20</v>
      </c>
      <c r="H5">
        <v>161.69999999999999</v>
      </c>
      <c r="I5">
        <v>1</v>
      </c>
      <c r="J5">
        <v>161.69999999999999</v>
      </c>
      <c r="K5" t="str">
        <f t="shared" si="0"/>
        <v>Nov</v>
      </c>
      <c r="L5" t="str">
        <f t="shared" si="1"/>
        <v>Low</v>
      </c>
      <c r="M5" t="str">
        <f t="shared" si="3"/>
        <v>Low</v>
      </c>
      <c r="N5">
        <f t="shared" si="4"/>
        <v>-220.38</v>
      </c>
      <c r="O5" s="6">
        <v>0.1</v>
      </c>
      <c r="P5">
        <f t="shared" si="2"/>
        <v>145.53</v>
      </c>
    </row>
    <row r="6" spans="1:16" x14ac:dyDescent="0.25">
      <c r="A6" t="s">
        <v>29</v>
      </c>
      <c r="B6" s="1">
        <v>45937</v>
      </c>
      <c r="C6" t="s">
        <v>30</v>
      </c>
      <c r="D6" t="s">
        <v>31</v>
      </c>
      <c r="E6" t="s">
        <v>18</v>
      </c>
      <c r="F6" t="s">
        <v>32</v>
      </c>
      <c r="G6" t="s">
        <v>15</v>
      </c>
      <c r="H6">
        <v>64.319999999999993</v>
      </c>
      <c r="I6">
        <v>14</v>
      </c>
      <c r="J6">
        <v>900.48</v>
      </c>
      <c r="K6" t="str">
        <f t="shared" si="0"/>
        <v>Oct</v>
      </c>
      <c r="L6" t="str">
        <f t="shared" si="1"/>
        <v>Low</v>
      </c>
      <c r="M6" t="str">
        <f t="shared" si="3"/>
        <v>Average</v>
      </c>
      <c r="N6">
        <f t="shared" si="4"/>
        <v>738.78</v>
      </c>
      <c r="O6" s="6">
        <v>0.1</v>
      </c>
      <c r="P6">
        <f t="shared" si="2"/>
        <v>810.43200000000002</v>
      </c>
    </row>
    <row r="7" spans="1:16" x14ac:dyDescent="0.25">
      <c r="A7" t="s">
        <v>33</v>
      </c>
      <c r="B7" s="1">
        <v>45739</v>
      </c>
      <c r="C7" t="s">
        <v>34</v>
      </c>
      <c r="D7" t="s">
        <v>35</v>
      </c>
      <c r="E7" t="s">
        <v>23</v>
      </c>
      <c r="F7" t="s">
        <v>14</v>
      </c>
      <c r="G7" t="s">
        <v>36</v>
      </c>
      <c r="H7">
        <v>64.319999999999993</v>
      </c>
      <c r="I7">
        <v>14</v>
      </c>
      <c r="J7">
        <v>900.48</v>
      </c>
      <c r="K7" t="str">
        <f t="shared" si="0"/>
        <v>Mar</v>
      </c>
      <c r="L7" t="str">
        <f t="shared" si="1"/>
        <v>Low</v>
      </c>
      <c r="M7" t="str">
        <f t="shared" si="3"/>
        <v>Average</v>
      </c>
      <c r="N7">
        <f t="shared" si="4"/>
        <v>0</v>
      </c>
      <c r="O7" s="6">
        <v>0.1</v>
      </c>
      <c r="P7">
        <f t="shared" si="2"/>
        <v>810.43200000000002</v>
      </c>
    </row>
    <row r="8" spans="1:16" x14ac:dyDescent="0.25">
      <c r="A8" t="s">
        <v>37</v>
      </c>
      <c r="B8" s="1">
        <v>45710</v>
      </c>
      <c r="C8" t="s">
        <v>38</v>
      </c>
      <c r="D8" t="s">
        <v>22</v>
      </c>
      <c r="E8" t="s">
        <v>13</v>
      </c>
      <c r="F8" t="s">
        <v>39</v>
      </c>
      <c r="G8" t="s">
        <v>36</v>
      </c>
      <c r="H8">
        <v>42.78</v>
      </c>
      <c r="I8">
        <v>3</v>
      </c>
      <c r="J8">
        <v>128.34</v>
      </c>
      <c r="K8" t="str">
        <f t="shared" si="0"/>
        <v>Feb</v>
      </c>
      <c r="L8" t="str">
        <f t="shared" si="1"/>
        <v>Low</v>
      </c>
      <c r="M8" t="str">
        <f t="shared" si="3"/>
        <v>Low</v>
      </c>
      <c r="N8">
        <f t="shared" si="4"/>
        <v>-772.14</v>
      </c>
      <c r="O8" s="6">
        <v>0.1</v>
      </c>
      <c r="P8">
        <f t="shared" si="2"/>
        <v>115.506</v>
      </c>
    </row>
    <row r="9" spans="1:16" x14ac:dyDescent="0.25">
      <c r="A9" t="s">
        <v>40</v>
      </c>
      <c r="B9" s="1">
        <v>45967</v>
      </c>
      <c r="C9" t="s">
        <v>11</v>
      </c>
      <c r="D9" t="s">
        <v>12</v>
      </c>
      <c r="E9" t="s">
        <v>41</v>
      </c>
      <c r="F9" t="s">
        <v>42</v>
      </c>
      <c r="G9" t="s">
        <v>15</v>
      </c>
      <c r="H9">
        <v>220.56</v>
      </c>
      <c r="I9">
        <v>9</v>
      </c>
      <c r="J9">
        <v>1985.04</v>
      </c>
      <c r="K9" t="str">
        <f t="shared" si="0"/>
        <v>Nov</v>
      </c>
      <c r="L9" t="str">
        <f t="shared" si="1"/>
        <v>Low</v>
      </c>
      <c r="M9" t="str">
        <f t="shared" si="3"/>
        <v>Good</v>
      </c>
      <c r="N9">
        <f t="shared" si="4"/>
        <v>1856.7</v>
      </c>
      <c r="O9" s="6">
        <v>0.1</v>
      </c>
      <c r="P9">
        <f t="shared" si="2"/>
        <v>1786.5360000000001</v>
      </c>
    </row>
    <row r="10" spans="1:16" x14ac:dyDescent="0.25">
      <c r="A10" t="s">
        <v>43</v>
      </c>
      <c r="B10" s="1">
        <v>45851</v>
      </c>
      <c r="C10" t="s">
        <v>25</v>
      </c>
      <c r="D10" t="s">
        <v>35</v>
      </c>
      <c r="E10" t="s">
        <v>27</v>
      </c>
      <c r="F10" t="s">
        <v>42</v>
      </c>
      <c r="G10" t="s">
        <v>36</v>
      </c>
      <c r="H10">
        <v>162.25</v>
      </c>
      <c r="I10">
        <v>3</v>
      </c>
      <c r="J10">
        <v>486.75</v>
      </c>
      <c r="K10" t="str">
        <f t="shared" si="0"/>
        <v>Jul</v>
      </c>
      <c r="L10" t="str">
        <f t="shared" si="1"/>
        <v>Low</v>
      </c>
      <c r="M10" t="str">
        <f t="shared" si="3"/>
        <v>Low</v>
      </c>
      <c r="N10">
        <f t="shared" si="4"/>
        <v>-1498.29</v>
      </c>
      <c r="O10" s="6">
        <v>0.1</v>
      </c>
      <c r="P10">
        <f t="shared" si="2"/>
        <v>438.07499999999999</v>
      </c>
    </row>
    <row r="11" spans="1:16" x14ac:dyDescent="0.25">
      <c r="A11" t="s">
        <v>44</v>
      </c>
      <c r="B11" s="1">
        <v>45953</v>
      </c>
      <c r="C11" t="s">
        <v>17</v>
      </c>
      <c r="D11" t="s">
        <v>22</v>
      </c>
      <c r="E11" t="s">
        <v>45</v>
      </c>
      <c r="F11" t="s">
        <v>28</v>
      </c>
      <c r="G11" t="s">
        <v>15</v>
      </c>
      <c r="H11">
        <v>185.78</v>
      </c>
      <c r="I11">
        <v>7</v>
      </c>
      <c r="J11">
        <v>1300.46</v>
      </c>
      <c r="K11" t="str">
        <f t="shared" si="0"/>
        <v>Oct</v>
      </c>
      <c r="L11" t="str">
        <f t="shared" si="1"/>
        <v>Low</v>
      </c>
      <c r="M11" t="str">
        <f t="shared" si="3"/>
        <v>Average</v>
      </c>
      <c r="N11">
        <f t="shared" si="4"/>
        <v>813.71</v>
      </c>
      <c r="O11" s="6">
        <v>0.1</v>
      </c>
      <c r="P11">
        <f t="shared" si="2"/>
        <v>1170.414</v>
      </c>
    </row>
    <row r="12" spans="1:16" x14ac:dyDescent="0.25">
      <c r="A12" t="s">
        <v>46</v>
      </c>
      <c r="B12" s="1">
        <v>45806</v>
      </c>
      <c r="C12" t="s">
        <v>30</v>
      </c>
      <c r="D12" t="s">
        <v>22</v>
      </c>
      <c r="E12" t="s">
        <v>41</v>
      </c>
      <c r="F12" t="s">
        <v>32</v>
      </c>
      <c r="G12" t="s">
        <v>36</v>
      </c>
      <c r="H12">
        <v>34.53</v>
      </c>
      <c r="I12">
        <v>3</v>
      </c>
      <c r="J12">
        <v>103.59</v>
      </c>
      <c r="K12" t="str">
        <f t="shared" si="0"/>
        <v>May</v>
      </c>
      <c r="L12" t="str">
        <f t="shared" si="1"/>
        <v>Low</v>
      </c>
      <c r="M12" t="str">
        <f t="shared" si="3"/>
        <v>Low</v>
      </c>
      <c r="N12">
        <f t="shared" si="4"/>
        <v>-1196.8700000000001</v>
      </c>
      <c r="O12" s="6">
        <v>0.1</v>
      </c>
      <c r="P12">
        <f t="shared" si="2"/>
        <v>93.231000000000009</v>
      </c>
    </row>
    <row r="13" spans="1:16" x14ac:dyDescent="0.25">
      <c r="A13" t="s">
        <v>47</v>
      </c>
      <c r="B13" s="1">
        <v>45983</v>
      </c>
      <c r="C13" t="s">
        <v>30</v>
      </c>
      <c r="D13" t="s">
        <v>35</v>
      </c>
      <c r="E13" t="s">
        <v>13</v>
      </c>
      <c r="F13" t="s">
        <v>14</v>
      </c>
      <c r="G13" t="s">
        <v>20</v>
      </c>
      <c r="H13">
        <v>243.38</v>
      </c>
      <c r="I13">
        <v>12</v>
      </c>
      <c r="J13">
        <v>2920.56</v>
      </c>
      <c r="K13" t="str">
        <f t="shared" si="0"/>
        <v>Nov</v>
      </c>
      <c r="L13" t="str">
        <f t="shared" si="1"/>
        <v>High</v>
      </c>
      <c r="M13" t="str">
        <f t="shared" si="3"/>
        <v>Good</v>
      </c>
      <c r="N13">
        <f t="shared" si="4"/>
        <v>2816.97</v>
      </c>
      <c r="O13" s="6">
        <v>0.1</v>
      </c>
      <c r="P13">
        <f t="shared" si="2"/>
        <v>2628.5039999999999</v>
      </c>
    </row>
    <row r="14" spans="1:16" x14ac:dyDescent="0.25">
      <c r="A14" t="s">
        <v>48</v>
      </c>
      <c r="B14" s="1">
        <v>45794</v>
      </c>
      <c r="C14" t="s">
        <v>25</v>
      </c>
      <c r="D14" t="s">
        <v>12</v>
      </c>
      <c r="E14" t="s">
        <v>23</v>
      </c>
      <c r="F14" t="s">
        <v>42</v>
      </c>
      <c r="G14" t="s">
        <v>20</v>
      </c>
      <c r="H14">
        <v>213.14</v>
      </c>
      <c r="I14">
        <v>3</v>
      </c>
      <c r="J14">
        <v>639.41999999999996</v>
      </c>
      <c r="K14" t="str">
        <f t="shared" si="0"/>
        <v>May</v>
      </c>
      <c r="L14" t="str">
        <f t="shared" si="1"/>
        <v>Low</v>
      </c>
      <c r="M14" t="str">
        <f t="shared" si="3"/>
        <v>Average</v>
      </c>
      <c r="N14">
        <f t="shared" si="4"/>
        <v>-2281.14</v>
      </c>
      <c r="O14" s="6">
        <v>0.1</v>
      </c>
      <c r="P14">
        <f t="shared" si="2"/>
        <v>575.47799999999995</v>
      </c>
    </row>
    <row r="15" spans="1:16" x14ac:dyDescent="0.25">
      <c r="A15" t="s">
        <v>49</v>
      </c>
      <c r="B15" s="1">
        <v>45783</v>
      </c>
      <c r="C15" t="s">
        <v>38</v>
      </c>
      <c r="D15" t="s">
        <v>31</v>
      </c>
      <c r="E15" t="s">
        <v>13</v>
      </c>
      <c r="F15" t="s">
        <v>28</v>
      </c>
      <c r="G15" t="s">
        <v>20</v>
      </c>
      <c r="H15">
        <v>76.709999999999994</v>
      </c>
      <c r="I15">
        <v>6</v>
      </c>
      <c r="J15">
        <v>460.26</v>
      </c>
      <c r="K15" t="str">
        <f t="shared" si="0"/>
        <v>May</v>
      </c>
      <c r="L15" t="str">
        <f t="shared" si="1"/>
        <v>Low</v>
      </c>
      <c r="M15" t="str">
        <f t="shared" si="3"/>
        <v>Low</v>
      </c>
      <c r="N15">
        <f t="shared" si="4"/>
        <v>-179.15999999999997</v>
      </c>
      <c r="O15" s="6">
        <v>0.1</v>
      </c>
      <c r="P15">
        <f t="shared" si="2"/>
        <v>414.23399999999998</v>
      </c>
    </row>
    <row r="16" spans="1:16" x14ac:dyDescent="0.25">
      <c r="A16" t="s">
        <v>50</v>
      </c>
      <c r="B16" s="1">
        <v>45943</v>
      </c>
      <c r="C16" t="s">
        <v>17</v>
      </c>
      <c r="D16" t="s">
        <v>35</v>
      </c>
      <c r="E16" t="s">
        <v>45</v>
      </c>
      <c r="F16" t="s">
        <v>14</v>
      </c>
      <c r="G16" t="s">
        <v>15</v>
      </c>
      <c r="H16">
        <v>70</v>
      </c>
      <c r="I16">
        <v>8</v>
      </c>
      <c r="J16">
        <v>560</v>
      </c>
      <c r="K16" t="str">
        <f t="shared" si="0"/>
        <v>Oct</v>
      </c>
      <c r="L16" t="str">
        <f t="shared" si="1"/>
        <v>Low</v>
      </c>
      <c r="M16" t="str">
        <f t="shared" si="3"/>
        <v>Average</v>
      </c>
      <c r="N16">
        <f t="shared" si="4"/>
        <v>99.740000000000009</v>
      </c>
      <c r="O16" s="6">
        <v>0.1</v>
      </c>
      <c r="P16">
        <f t="shared" si="2"/>
        <v>504</v>
      </c>
    </row>
    <row r="17" spans="1:16" x14ac:dyDescent="0.25">
      <c r="A17" t="s">
        <v>51</v>
      </c>
      <c r="B17" s="1">
        <v>45819</v>
      </c>
      <c r="C17" t="s">
        <v>34</v>
      </c>
      <c r="D17" t="s">
        <v>22</v>
      </c>
      <c r="E17" t="s">
        <v>23</v>
      </c>
      <c r="F17" t="s">
        <v>42</v>
      </c>
      <c r="G17" t="s">
        <v>20</v>
      </c>
      <c r="H17">
        <v>70.349999999999994</v>
      </c>
      <c r="I17">
        <v>13</v>
      </c>
      <c r="J17">
        <v>914.55</v>
      </c>
      <c r="K17" t="str">
        <f t="shared" si="0"/>
        <v>Jun</v>
      </c>
      <c r="L17" t="str">
        <f t="shared" si="1"/>
        <v>Low</v>
      </c>
      <c r="M17" t="str">
        <f t="shared" si="3"/>
        <v>Average</v>
      </c>
      <c r="N17">
        <f t="shared" si="4"/>
        <v>354.54999999999995</v>
      </c>
      <c r="O17" s="6">
        <v>0.1</v>
      </c>
      <c r="P17">
        <f t="shared" si="2"/>
        <v>823.09500000000003</v>
      </c>
    </row>
    <row r="18" spans="1:16" x14ac:dyDescent="0.25">
      <c r="A18" t="s">
        <v>52</v>
      </c>
      <c r="B18" s="1">
        <v>45819</v>
      </c>
      <c r="C18" t="s">
        <v>17</v>
      </c>
      <c r="D18" t="s">
        <v>31</v>
      </c>
      <c r="E18" t="s">
        <v>41</v>
      </c>
      <c r="F18" t="s">
        <v>28</v>
      </c>
      <c r="G18" t="s">
        <v>36</v>
      </c>
      <c r="H18">
        <v>96.93</v>
      </c>
      <c r="I18">
        <v>7</v>
      </c>
      <c r="J18">
        <v>678.51</v>
      </c>
      <c r="K18" t="str">
        <f t="shared" si="0"/>
        <v>Jun</v>
      </c>
      <c r="L18" t="str">
        <f t="shared" si="1"/>
        <v>Low</v>
      </c>
      <c r="M18" t="str">
        <f t="shared" si="3"/>
        <v>Average</v>
      </c>
      <c r="N18">
        <f t="shared" si="4"/>
        <v>-236.03999999999996</v>
      </c>
      <c r="O18" s="6">
        <v>0.1</v>
      </c>
      <c r="P18">
        <f t="shared" si="2"/>
        <v>610.65899999999999</v>
      </c>
    </row>
    <row r="19" spans="1:16" x14ac:dyDescent="0.25">
      <c r="A19" t="s">
        <v>53</v>
      </c>
      <c r="B19" s="1">
        <v>45731</v>
      </c>
      <c r="C19" t="s">
        <v>30</v>
      </c>
      <c r="D19" t="s">
        <v>26</v>
      </c>
      <c r="E19" t="s">
        <v>27</v>
      </c>
      <c r="F19" t="s">
        <v>42</v>
      </c>
      <c r="G19" t="s">
        <v>20</v>
      </c>
      <c r="H19">
        <v>145.44999999999999</v>
      </c>
      <c r="I19">
        <v>9</v>
      </c>
      <c r="J19">
        <v>1309.05</v>
      </c>
      <c r="K19" t="str">
        <f t="shared" si="0"/>
        <v>Mar</v>
      </c>
      <c r="L19" t="str">
        <f t="shared" si="1"/>
        <v>Low</v>
      </c>
      <c r="M19" t="str">
        <f t="shared" si="3"/>
        <v>Average</v>
      </c>
      <c r="N19">
        <f t="shared" si="4"/>
        <v>630.54</v>
      </c>
      <c r="O19" s="6">
        <v>0.1</v>
      </c>
      <c r="P19">
        <f t="shared" si="2"/>
        <v>1178.145</v>
      </c>
    </row>
    <row r="20" spans="1:16" x14ac:dyDescent="0.25">
      <c r="A20" t="s">
        <v>54</v>
      </c>
      <c r="B20" s="1">
        <v>45792</v>
      </c>
      <c r="C20" t="s">
        <v>38</v>
      </c>
      <c r="D20" t="s">
        <v>55</v>
      </c>
      <c r="E20" t="s">
        <v>41</v>
      </c>
      <c r="F20" t="s">
        <v>32</v>
      </c>
      <c r="G20" t="s">
        <v>15</v>
      </c>
      <c r="H20">
        <v>125.03</v>
      </c>
      <c r="I20">
        <v>19</v>
      </c>
      <c r="J20">
        <v>2375.5700000000002</v>
      </c>
      <c r="K20" t="str">
        <f t="shared" si="0"/>
        <v>May</v>
      </c>
      <c r="L20" t="str">
        <f t="shared" si="1"/>
        <v>High</v>
      </c>
      <c r="M20" t="str">
        <f t="shared" si="3"/>
        <v>Good</v>
      </c>
      <c r="N20">
        <f t="shared" si="4"/>
        <v>1066.5200000000002</v>
      </c>
      <c r="O20" s="6">
        <v>0.1</v>
      </c>
      <c r="P20">
        <f t="shared" si="2"/>
        <v>2138.0130000000004</v>
      </c>
    </row>
    <row r="21" spans="1:16" x14ac:dyDescent="0.25">
      <c r="A21" t="s">
        <v>56</v>
      </c>
      <c r="B21" s="1">
        <v>45728</v>
      </c>
      <c r="C21" t="s">
        <v>38</v>
      </c>
      <c r="D21" t="s">
        <v>22</v>
      </c>
      <c r="E21" t="s">
        <v>45</v>
      </c>
      <c r="F21" t="s">
        <v>39</v>
      </c>
      <c r="G21" t="s">
        <v>15</v>
      </c>
      <c r="H21">
        <v>94.07</v>
      </c>
      <c r="I21">
        <v>17</v>
      </c>
      <c r="J21">
        <v>1599.19</v>
      </c>
      <c r="K21" t="str">
        <f t="shared" si="0"/>
        <v>Mar</v>
      </c>
      <c r="L21" t="str">
        <f t="shared" si="1"/>
        <v>Low</v>
      </c>
      <c r="M21" t="str">
        <f t="shared" si="3"/>
        <v>Good</v>
      </c>
      <c r="N21">
        <f t="shared" si="4"/>
        <v>-776.38000000000011</v>
      </c>
      <c r="O21" s="6">
        <v>0.1</v>
      </c>
      <c r="P21">
        <f t="shared" si="2"/>
        <v>1439.2710000000002</v>
      </c>
    </row>
    <row r="22" spans="1:16" x14ac:dyDescent="0.25">
      <c r="A22" t="s">
        <v>57</v>
      </c>
      <c r="B22" s="1">
        <v>45736</v>
      </c>
      <c r="C22" t="s">
        <v>17</v>
      </c>
      <c r="D22" t="s">
        <v>31</v>
      </c>
      <c r="E22" t="s">
        <v>18</v>
      </c>
      <c r="F22" t="s">
        <v>19</v>
      </c>
      <c r="G22" t="s">
        <v>36</v>
      </c>
      <c r="H22">
        <v>164.61</v>
      </c>
      <c r="I22">
        <v>6</v>
      </c>
      <c r="J22">
        <v>987.66</v>
      </c>
      <c r="K22" t="str">
        <f t="shared" si="0"/>
        <v>Mar</v>
      </c>
      <c r="L22" t="str">
        <f t="shared" si="1"/>
        <v>Low</v>
      </c>
      <c r="M22" t="str">
        <f t="shared" si="3"/>
        <v>Average</v>
      </c>
      <c r="N22">
        <f t="shared" si="4"/>
        <v>-611.53000000000009</v>
      </c>
      <c r="O22" s="6">
        <v>0.1</v>
      </c>
      <c r="P22">
        <f t="shared" si="2"/>
        <v>888.89400000000001</v>
      </c>
    </row>
    <row r="23" spans="1:16" x14ac:dyDescent="0.25">
      <c r="A23" t="s">
        <v>58</v>
      </c>
      <c r="B23" s="1">
        <v>45853</v>
      </c>
      <c r="C23" t="s">
        <v>38</v>
      </c>
      <c r="D23" t="s">
        <v>55</v>
      </c>
      <c r="E23" t="s">
        <v>13</v>
      </c>
      <c r="F23" t="s">
        <v>42</v>
      </c>
      <c r="G23" t="s">
        <v>15</v>
      </c>
      <c r="H23">
        <v>60.69</v>
      </c>
      <c r="I23">
        <v>20</v>
      </c>
      <c r="J23">
        <v>1213.8</v>
      </c>
      <c r="K23" t="str">
        <f t="shared" si="0"/>
        <v>Jul</v>
      </c>
      <c r="L23" t="str">
        <f t="shared" si="1"/>
        <v>Low</v>
      </c>
      <c r="M23" t="str">
        <f t="shared" si="3"/>
        <v>Average</v>
      </c>
      <c r="N23">
        <f t="shared" si="4"/>
        <v>226.14</v>
      </c>
      <c r="O23" s="6">
        <v>0.1</v>
      </c>
      <c r="P23">
        <f t="shared" si="2"/>
        <v>1092.42</v>
      </c>
    </row>
    <row r="24" spans="1:16" x14ac:dyDescent="0.25">
      <c r="A24" t="s">
        <v>59</v>
      </c>
      <c r="B24" s="1">
        <v>46006</v>
      </c>
      <c r="C24" t="s">
        <v>17</v>
      </c>
      <c r="D24" t="s">
        <v>55</v>
      </c>
      <c r="E24" t="s">
        <v>13</v>
      </c>
      <c r="F24" t="s">
        <v>39</v>
      </c>
      <c r="G24" t="s">
        <v>20</v>
      </c>
      <c r="H24">
        <v>94.27</v>
      </c>
      <c r="I24">
        <v>4</v>
      </c>
      <c r="J24">
        <v>377.08</v>
      </c>
      <c r="K24" t="str">
        <f t="shared" si="0"/>
        <v>Dec</v>
      </c>
      <c r="L24" t="str">
        <f t="shared" si="1"/>
        <v>Low</v>
      </c>
      <c r="M24" t="str">
        <f t="shared" si="3"/>
        <v>Low</v>
      </c>
      <c r="N24">
        <f t="shared" si="4"/>
        <v>-836.72</v>
      </c>
      <c r="O24" s="6">
        <v>0.1</v>
      </c>
      <c r="P24">
        <f t="shared" si="2"/>
        <v>339.37200000000001</v>
      </c>
    </row>
    <row r="25" spans="1:16" x14ac:dyDescent="0.25">
      <c r="A25" t="s">
        <v>60</v>
      </c>
      <c r="B25" s="1">
        <v>45832</v>
      </c>
      <c r="C25" t="s">
        <v>34</v>
      </c>
      <c r="D25" t="s">
        <v>31</v>
      </c>
      <c r="E25" t="s">
        <v>23</v>
      </c>
      <c r="F25" t="s">
        <v>61</v>
      </c>
      <c r="G25" t="s">
        <v>15</v>
      </c>
      <c r="H25">
        <v>110.6</v>
      </c>
      <c r="I25">
        <v>4</v>
      </c>
      <c r="J25">
        <v>442.4</v>
      </c>
      <c r="K25" t="str">
        <f t="shared" si="0"/>
        <v>Jun</v>
      </c>
      <c r="L25" t="str">
        <f t="shared" si="1"/>
        <v>Low</v>
      </c>
      <c r="M25" t="str">
        <f t="shared" si="3"/>
        <v>Low</v>
      </c>
      <c r="N25">
        <f t="shared" si="4"/>
        <v>65.319999999999993</v>
      </c>
      <c r="O25" s="6">
        <v>0.1</v>
      </c>
      <c r="P25">
        <f t="shared" si="2"/>
        <v>398.15999999999997</v>
      </c>
    </row>
    <row r="26" spans="1:16" x14ac:dyDescent="0.25">
      <c r="A26" t="s">
        <v>62</v>
      </c>
      <c r="B26" s="1">
        <v>45792</v>
      </c>
      <c r="C26" t="s">
        <v>30</v>
      </c>
      <c r="D26" t="s">
        <v>55</v>
      </c>
      <c r="E26" t="s">
        <v>45</v>
      </c>
      <c r="F26" t="s">
        <v>39</v>
      </c>
      <c r="G26" t="s">
        <v>20</v>
      </c>
      <c r="H26">
        <v>130.34</v>
      </c>
      <c r="I26">
        <v>17</v>
      </c>
      <c r="J26">
        <v>2215.7800000000002</v>
      </c>
      <c r="K26" t="str">
        <f t="shared" si="0"/>
        <v>May</v>
      </c>
      <c r="L26" t="str">
        <f t="shared" si="1"/>
        <v>High</v>
      </c>
      <c r="M26" t="str">
        <f t="shared" si="3"/>
        <v>Good</v>
      </c>
      <c r="N26">
        <f t="shared" si="4"/>
        <v>1773.38</v>
      </c>
      <c r="O26" s="6">
        <v>0.1</v>
      </c>
      <c r="P26">
        <f t="shared" si="2"/>
        <v>1994.2020000000002</v>
      </c>
    </row>
    <row r="27" spans="1:16" x14ac:dyDescent="0.25">
      <c r="A27" t="s">
        <v>63</v>
      </c>
      <c r="B27" s="1">
        <v>45810</v>
      </c>
      <c r="C27" t="s">
        <v>25</v>
      </c>
      <c r="D27" t="s">
        <v>26</v>
      </c>
      <c r="E27" t="s">
        <v>23</v>
      </c>
      <c r="F27" t="s">
        <v>32</v>
      </c>
      <c r="G27" t="s">
        <v>15</v>
      </c>
      <c r="H27">
        <v>202.74</v>
      </c>
      <c r="I27">
        <v>17</v>
      </c>
      <c r="J27">
        <v>3446.58</v>
      </c>
      <c r="K27" t="str">
        <f t="shared" si="0"/>
        <v>Jun</v>
      </c>
      <c r="L27" t="str">
        <f t="shared" si="1"/>
        <v>High</v>
      </c>
      <c r="M27" t="str">
        <f t="shared" si="3"/>
        <v>Excellent</v>
      </c>
      <c r="N27">
        <f t="shared" si="4"/>
        <v>1230.7999999999997</v>
      </c>
      <c r="O27" s="6">
        <v>0.1</v>
      </c>
      <c r="P27">
        <f t="shared" si="2"/>
        <v>3101.922</v>
      </c>
    </row>
    <row r="28" spans="1:16" x14ac:dyDescent="0.25">
      <c r="A28" t="s">
        <v>64</v>
      </c>
      <c r="B28" s="1">
        <v>45934</v>
      </c>
      <c r="C28" t="s">
        <v>11</v>
      </c>
      <c r="D28" t="s">
        <v>55</v>
      </c>
      <c r="E28" t="s">
        <v>13</v>
      </c>
      <c r="F28" t="s">
        <v>61</v>
      </c>
      <c r="G28" t="s">
        <v>15</v>
      </c>
      <c r="H28">
        <v>73.930000000000007</v>
      </c>
      <c r="I28">
        <v>17</v>
      </c>
      <c r="J28">
        <v>1256.81</v>
      </c>
      <c r="K28" t="str">
        <f t="shared" si="0"/>
        <v>Oct</v>
      </c>
      <c r="L28" t="str">
        <f t="shared" si="1"/>
        <v>Low</v>
      </c>
      <c r="M28" t="str">
        <f t="shared" si="3"/>
        <v>Average</v>
      </c>
      <c r="N28">
        <f t="shared" si="4"/>
        <v>-2189.77</v>
      </c>
      <c r="O28" s="6">
        <v>0.1</v>
      </c>
      <c r="P28">
        <f t="shared" si="2"/>
        <v>1131.1289999999999</v>
      </c>
    </row>
    <row r="29" spans="1:16" x14ac:dyDescent="0.25">
      <c r="A29" t="s">
        <v>65</v>
      </c>
      <c r="B29" s="1">
        <v>45715</v>
      </c>
      <c r="C29" t="s">
        <v>34</v>
      </c>
      <c r="D29" t="s">
        <v>26</v>
      </c>
      <c r="E29" t="s">
        <v>45</v>
      </c>
      <c r="F29" t="s">
        <v>14</v>
      </c>
      <c r="G29" t="s">
        <v>20</v>
      </c>
      <c r="H29">
        <v>143.13</v>
      </c>
      <c r="I29">
        <v>12</v>
      </c>
      <c r="J29">
        <v>1717.56</v>
      </c>
      <c r="K29" t="str">
        <f t="shared" si="0"/>
        <v>Feb</v>
      </c>
      <c r="L29" t="str">
        <f t="shared" si="1"/>
        <v>Low</v>
      </c>
      <c r="M29" t="str">
        <f t="shared" si="3"/>
        <v>Good</v>
      </c>
      <c r="N29">
        <f t="shared" si="4"/>
        <v>460.75</v>
      </c>
      <c r="O29" s="6">
        <v>0.1</v>
      </c>
      <c r="P29">
        <f t="shared" si="2"/>
        <v>1545.8040000000001</v>
      </c>
    </row>
    <row r="30" spans="1:16" x14ac:dyDescent="0.25">
      <c r="A30" t="s">
        <v>66</v>
      </c>
      <c r="B30" s="1">
        <v>45698</v>
      </c>
      <c r="C30" t="s">
        <v>17</v>
      </c>
      <c r="D30" t="s">
        <v>31</v>
      </c>
      <c r="E30" t="s">
        <v>45</v>
      </c>
      <c r="F30" t="s">
        <v>39</v>
      </c>
      <c r="G30" t="s">
        <v>20</v>
      </c>
      <c r="H30">
        <v>160.33000000000001</v>
      </c>
      <c r="I30">
        <v>3</v>
      </c>
      <c r="J30">
        <v>480.99</v>
      </c>
      <c r="K30" t="str">
        <f t="shared" si="0"/>
        <v>Feb</v>
      </c>
      <c r="L30" t="str">
        <f t="shared" si="1"/>
        <v>Low</v>
      </c>
      <c r="M30" t="str">
        <f t="shared" si="3"/>
        <v>Low</v>
      </c>
      <c r="N30">
        <f t="shared" si="4"/>
        <v>-1236.57</v>
      </c>
      <c r="O30" s="6">
        <v>0.1</v>
      </c>
      <c r="P30">
        <f t="shared" si="2"/>
        <v>432.89100000000002</v>
      </c>
    </row>
    <row r="31" spans="1:16" x14ac:dyDescent="0.25">
      <c r="A31" t="s">
        <v>67</v>
      </c>
      <c r="B31" s="1">
        <v>45722</v>
      </c>
      <c r="C31" t="s">
        <v>17</v>
      </c>
      <c r="D31" t="s">
        <v>31</v>
      </c>
      <c r="E31" t="s">
        <v>18</v>
      </c>
      <c r="F31" t="s">
        <v>14</v>
      </c>
      <c r="G31" t="s">
        <v>36</v>
      </c>
      <c r="H31">
        <v>40.22</v>
      </c>
      <c r="I31">
        <v>5</v>
      </c>
      <c r="J31">
        <v>201.1</v>
      </c>
      <c r="K31" t="str">
        <f t="shared" si="0"/>
        <v>Mar</v>
      </c>
      <c r="L31" t="str">
        <f t="shared" si="1"/>
        <v>Low</v>
      </c>
      <c r="M31" t="str">
        <f t="shared" si="3"/>
        <v>Low</v>
      </c>
      <c r="N31">
        <f t="shared" si="4"/>
        <v>-279.89</v>
      </c>
      <c r="O31" s="6">
        <v>0.1</v>
      </c>
      <c r="P31">
        <f t="shared" si="2"/>
        <v>180.99</v>
      </c>
    </row>
    <row r="32" spans="1:16" x14ac:dyDescent="0.25">
      <c r="A32" t="s">
        <v>68</v>
      </c>
      <c r="B32" s="1">
        <v>45928</v>
      </c>
      <c r="C32" t="s">
        <v>38</v>
      </c>
      <c r="D32" t="s">
        <v>26</v>
      </c>
      <c r="E32" t="s">
        <v>18</v>
      </c>
      <c r="F32" t="s">
        <v>39</v>
      </c>
      <c r="G32" t="s">
        <v>20</v>
      </c>
      <c r="H32">
        <v>163.66</v>
      </c>
      <c r="I32">
        <v>20</v>
      </c>
      <c r="J32">
        <v>3273.2</v>
      </c>
      <c r="K32" t="str">
        <f t="shared" si="0"/>
        <v>Sep</v>
      </c>
      <c r="L32" t="str">
        <f t="shared" si="1"/>
        <v>High</v>
      </c>
      <c r="M32" t="str">
        <f t="shared" si="3"/>
        <v>Excellent</v>
      </c>
      <c r="N32">
        <f t="shared" si="4"/>
        <v>3072.1</v>
      </c>
      <c r="O32" s="6">
        <v>0.1</v>
      </c>
      <c r="P32">
        <f t="shared" si="2"/>
        <v>2945.88</v>
      </c>
    </row>
    <row r="33" spans="1:16" x14ac:dyDescent="0.25">
      <c r="A33" t="s">
        <v>69</v>
      </c>
      <c r="B33" s="1">
        <v>46011</v>
      </c>
      <c r="C33" t="s">
        <v>17</v>
      </c>
      <c r="D33" t="s">
        <v>35</v>
      </c>
      <c r="E33" t="s">
        <v>41</v>
      </c>
      <c r="F33" t="s">
        <v>28</v>
      </c>
      <c r="G33" t="s">
        <v>20</v>
      </c>
      <c r="H33">
        <v>67.52</v>
      </c>
      <c r="I33">
        <v>7</v>
      </c>
      <c r="J33">
        <v>472.64</v>
      </c>
      <c r="K33" t="str">
        <f t="shared" si="0"/>
        <v>Dec</v>
      </c>
      <c r="L33" t="str">
        <f t="shared" si="1"/>
        <v>Low</v>
      </c>
      <c r="M33" t="str">
        <f t="shared" si="3"/>
        <v>Low</v>
      </c>
      <c r="N33">
        <f t="shared" si="4"/>
        <v>-2800.56</v>
      </c>
      <c r="O33" s="6">
        <v>0.1</v>
      </c>
      <c r="P33">
        <f t="shared" si="2"/>
        <v>425.37599999999998</v>
      </c>
    </row>
    <row r="34" spans="1:16" x14ac:dyDescent="0.25">
      <c r="A34" t="s">
        <v>70</v>
      </c>
      <c r="B34" s="1">
        <v>45849</v>
      </c>
      <c r="C34" t="s">
        <v>25</v>
      </c>
      <c r="D34" t="s">
        <v>31</v>
      </c>
      <c r="E34" t="s">
        <v>45</v>
      </c>
      <c r="F34" t="s">
        <v>14</v>
      </c>
      <c r="G34" t="s">
        <v>15</v>
      </c>
      <c r="H34">
        <v>44.31</v>
      </c>
      <c r="I34">
        <v>15</v>
      </c>
      <c r="J34">
        <v>664.65</v>
      </c>
      <c r="K34" t="str">
        <f t="shared" si="0"/>
        <v>Jul</v>
      </c>
      <c r="L34" t="str">
        <f t="shared" si="1"/>
        <v>Low</v>
      </c>
      <c r="M34" t="str">
        <f t="shared" si="3"/>
        <v>Average</v>
      </c>
      <c r="N34">
        <f t="shared" si="4"/>
        <v>192.01</v>
      </c>
      <c r="O34" s="6">
        <v>0.1</v>
      </c>
      <c r="P34">
        <f t="shared" si="2"/>
        <v>598.18499999999995</v>
      </c>
    </row>
    <row r="35" spans="1:16" x14ac:dyDescent="0.25">
      <c r="A35" t="s">
        <v>71</v>
      </c>
      <c r="B35" s="1">
        <v>45690</v>
      </c>
      <c r="C35" t="s">
        <v>11</v>
      </c>
      <c r="D35" t="s">
        <v>55</v>
      </c>
      <c r="E35" t="s">
        <v>18</v>
      </c>
      <c r="F35" t="s">
        <v>14</v>
      </c>
      <c r="G35" t="s">
        <v>20</v>
      </c>
      <c r="H35">
        <v>238.75</v>
      </c>
      <c r="I35">
        <v>11</v>
      </c>
      <c r="J35">
        <v>2626.25</v>
      </c>
      <c r="K35" t="str">
        <f t="shared" si="0"/>
        <v>Feb</v>
      </c>
      <c r="L35" t="str">
        <f t="shared" si="1"/>
        <v>High</v>
      </c>
      <c r="M35" t="str">
        <f t="shared" si="3"/>
        <v>Good</v>
      </c>
      <c r="N35">
        <f t="shared" si="4"/>
        <v>1961.6</v>
      </c>
      <c r="O35" s="6">
        <v>0.1</v>
      </c>
      <c r="P35">
        <f t="shared" si="2"/>
        <v>2363.625</v>
      </c>
    </row>
    <row r="36" spans="1:16" x14ac:dyDescent="0.25">
      <c r="A36" t="s">
        <v>72</v>
      </c>
      <c r="B36" s="1">
        <v>45770</v>
      </c>
      <c r="C36" t="s">
        <v>11</v>
      </c>
      <c r="D36" t="s">
        <v>12</v>
      </c>
      <c r="E36" t="s">
        <v>27</v>
      </c>
      <c r="F36" t="s">
        <v>19</v>
      </c>
      <c r="G36" t="s">
        <v>15</v>
      </c>
      <c r="H36">
        <v>242.44</v>
      </c>
      <c r="I36">
        <v>1</v>
      </c>
      <c r="J36">
        <v>242.44</v>
      </c>
      <c r="K36" t="str">
        <f t="shared" si="0"/>
        <v>Apr</v>
      </c>
      <c r="L36" t="str">
        <f t="shared" si="1"/>
        <v>Low</v>
      </c>
      <c r="M36" t="str">
        <f t="shared" si="3"/>
        <v>Low</v>
      </c>
      <c r="N36">
        <f t="shared" si="4"/>
        <v>-2383.81</v>
      </c>
      <c r="O36" s="6">
        <v>0.1</v>
      </c>
      <c r="P36">
        <f t="shared" si="2"/>
        <v>218.196</v>
      </c>
    </row>
    <row r="37" spans="1:16" x14ac:dyDescent="0.25">
      <c r="A37" t="s">
        <v>73</v>
      </c>
      <c r="B37" s="1">
        <v>45692</v>
      </c>
      <c r="C37" t="s">
        <v>34</v>
      </c>
      <c r="D37" t="s">
        <v>22</v>
      </c>
      <c r="E37" t="s">
        <v>18</v>
      </c>
      <c r="F37" t="s">
        <v>14</v>
      </c>
      <c r="G37" t="s">
        <v>36</v>
      </c>
      <c r="H37">
        <v>207.85</v>
      </c>
      <c r="I37">
        <v>2</v>
      </c>
      <c r="J37">
        <v>415.7</v>
      </c>
      <c r="K37" t="str">
        <f t="shared" si="0"/>
        <v>Feb</v>
      </c>
      <c r="L37" t="str">
        <f t="shared" si="1"/>
        <v>Low</v>
      </c>
      <c r="M37" t="str">
        <f t="shared" si="3"/>
        <v>Low</v>
      </c>
      <c r="N37">
        <f t="shared" si="4"/>
        <v>173.26</v>
      </c>
      <c r="O37" s="6">
        <v>0.1</v>
      </c>
      <c r="P37">
        <f t="shared" si="2"/>
        <v>374.13</v>
      </c>
    </row>
    <row r="38" spans="1:16" x14ac:dyDescent="0.25">
      <c r="A38" t="s">
        <v>74</v>
      </c>
      <c r="B38" s="1">
        <v>46000</v>
      </c>
      <c r="C38" t="s">
        <v>30</v>
      </c>
      <c r="D38" t="s">
        <v>55</v>
      </c>
      <c r="E38" t="s">
        <v>23</v>
      </c>
      <c r="F38" t="s">
        <v>28</v>
      </c>
      <c r="G38" t="s">
        <v>20</v>
      </c>
      <c r="H38">
        <v>97.02</v>
      </c>
      <c r="I38">
        <v>16</v>
      </c>
      <c r="J38">
        <v>1552.32</v>
      </c>
      <c r="K38" t="str">
        <f t="shared" si="0"/>
        <v>Dec</v>
      </c>
      <c r="L38" t="str">
        <f t="shared" si="1"/>
        <v>Low</v>
      </c>
      <c r="M38" t="str">
        <f t="shared" si="3"/>
        <v>Good</v>
      </c>
      <c r="N38">
        <f t="shared" si="4"/>
        <v>1136.6199999999999</v>
      </c>
      <c r="O38" s="6">
        <v>0.1</v>
      </c>
      <c r="P38">
        <f t="shared" si="2"/>
        <v>1397.088</v>
      </c>
    </row>
    <row r="39" spans="1:16" x14ac:dyDescent="0.25">
      <c r="A39" t="s">
        <v>75</v>
      </c>
      <c r="B39" s="1">
        <v>45953</v>
      </c>
      <c r="C39" t="s">
        <v>30</v>
      </c>
      <c r="D39" t="s">
        <v>31</v>
      </c>
      <c r="E39" t="s">
        <v>41</v>
      </c>
      <c r="F39" t="s">
        <v>14</v>
      </c>
      <c r="G39" t="s">
        <v>15</v>
      </c>
      <c r="H39">
        <v>51.49</v>
      </c>
      <c r="I39">
        <v>16</v>
      </c>
      <c r="J39">
        <v>823.84</v>
      </c>
      <c r="K39" t="str">
        <f t="shared" si="0"/>
        <v>Oct</v>
      </c>
      <c r="L39" t="str">
        <f t="shared" si="1"/>
        <v>Low</v>
      </c>
      <c r="M39" t="str">
        <f t="shared" si="3"/>
        <v>Average</v>
      </c>
      <c r="N39">
        <f t="shared" si="4"/>
        <v>-728.4799999999999</v>
      </c>
      <c r="O39" s="6">
        <v>0.1</v>
      </c>
      <c r="P39">
        <f t="shared" si="2"/>
        <v>741.45600000000002</v>
      </c>
    </row>
    <row r="40" spans="1:16" x14ac:dyDescent="0.25">
      <c r="A40" t="s">
        <v>76</v>
      </c>
      <c r="B40" s="1">
        <v>45707</v>
      </c>
      <c r="C40" t="s">
        <v>34</v>
      </c>
      <c r="D40" t="s">
        <v>31</v>
      </c>
      <c r="E40" t="s">
        <v>41</v>
      </c>
      <c r="F40" t="s">
        <v>61</v>
      </c>
      <c r="G40" t="s">
        <v>20</v>
      </c>
      <c r="H40">
        <v>180.53</v>
      </c>
      <c r="I40">
        <v>14</v>
      </c>
      <c r="J40">
        <v>2527.42</v>
      </c>
      <c r="K40" t="str">
        <f t="shared" si="0"/>
        <v>Feb</v>
      </c>
      <c r="L40" t="str">
        <f t="shared" si="1"/>
        <v>High</v>
      </c>
      <c r="M40" t="str">
        <f t="shared" si="3"/>
        <v>Good</v>
      </c>
      <c r="N40">
        <f t="shared" si="4"/>
        <v>1703.58</v>
      </c>
      <c r="O40" s="6">
        <v>0.1</v>
      </c>
      <c r="P40">
        <f t="shared" si="2"/>
        <v>2274.6780000000003</v>
      </c>
    </row>
    <row r="41" spans="1:16" x14ac:dyDescent="0.25">
      <c r="A41" t="s">
        <v>77</v>
      </c>
      <c r="B41" s="1">
        <v>45685</v>
      </c>
      <c r="C41" t="s">
        <v>11</v>
      </c>
      <c r="D41" t="s">
        <v>31</v>
      </c>
      <c r="E41" t="s">
        <v>27</v>
      </c>
      <c r="F41" t="s">
        <v>32</v>
      </c>
      <c r="G41" t="s">
        <v>15</v>
      </c>
      <c r="H41">
        <v>126.83</v>
      </c>
      <c r="I41">
        <v>4</v>
      </c>
      <c r="J41">
        <v>507.32</v>
      </c>
      <c r="K41" t="str">
        <f t="shared" si="0"/>
        <v>Jan</v>
      </c>
      <c r="L41" t="str">
        <f t="shared" si="1"/>
        <v>Low</v>
      </c>
      <c r="M41" t="str">
        <f t="shared" si="3"/>
        <v>Average</v>
      </c>
      <c r="N41">
        <f t="shared" si="4"/>
        <v>-2020.1000000000001</v>
      </c>
      <c r="O41" s="6">
        <v>0.1</v>
      </c>
      <c r="P41">
        <f t="shared" si="2"/>
        <v>456.58800000000002</v>
      </c>
    </row>
    <row r="42" spans="1:16" x14ac:dyDescent="0.25">
      <c r="A42" t="s">
        <v>78</v>
      </c>
      <c r="B42" s="1">
        <v>45785</v>
      </c>
      <c r="C42" t="s">
        <v>30</v>
      </c>
      <c r="D42" t="s">
        <v>55</v>
      </c>
      <c r="E42" t="s">
        <v>41</v>
      </c>
      <c r="F42" t="s">
        <v>14</v>
      </c>
      <c r="G42" t="s">
        <v>36</v>
      </c>
      <c r="H42">
        <v>56.85</v>
      </c>
      <c r="I42">
        <v>7</v>
      </c>
      <c r="J42">
        <v>397.95</v>
      </c>
      <c r="K42" t="str">
        <f t="shared" si="0"/>
        <v>May</v>
      </c>
      <c r="L42" t="str">
        <f t="shared" si="1"/>
        <v>Low</v>
      </c>
      <c r="M42" t="str">
        <f t="shared" si="3"/>
        <v>Low</v>
      </c>
      <c r="N42">
        <f t="shared" si="4"/>
        <v>-109.37</v>
      </c>
      <c r="O42" s="6">
        <v>0.1</v>
      </c>
      <c r="P42">
        <f t="shared" si="2"/>
        <v>358.15499999999997</v>
      </c>
    </row>
    <row r="43" spans="1:16" x14ac:dyDescent="0.25">
      <c r="A43" t="s">
        <v>79</v>
      </c>
      <c r="B43" s="1">
        <v>45751</v>
      </c>
      <c r="C43" t="s">
        <v>38</v>
      </c>
      <c r="D43" t="s">
        <v>26</v>
      </c>
      <c r="E43" t="s">
        <v>45</v>
      </c>
      <c r="F43" t="s">
        <v>61</v>
      </c>
      <c r="G43" t="s">
        <v>20</v>
      </c>
      <c r="H43">
        <v>138.94</v>
      </c>
      <c r="I43">
        <v>9</v>
      </c>
      <c r="J43">
        <v>1250.46</v>
      </c>
      <c r="K43" t="str">
        <f t="shared" si="0"/>
        <v>Apr</v>
      </c>
      <c r="L43" t="str">
        <f t="shared" si="1"/>
        <v>Low</v>
      </c>
      <c r="M43" t="str">
        <f t="shared" si="3"/>
        <v>Average</v>
      </c>
      <c r="N43">
        <f t="shared" si="4"/>
        <v>852.51</v>
      </c>
      <c r="O43" s="6">
        <v>0.1</v>
      </c>
      <c r="P43">
        <f t="shared" si="2"/>
        <v>1125.414</v>
      </c>
    </row>
    <row r="44" spans="1:16" x14ac:dyDescent="0.25">
      <c r="A44" t="s">
        <v>80</v>
      </c>
      <c r="B44" s="1">
        <v>45708</v>
      </c>
      <c r="C44" t="s">
        <v>17</v>
      </c>
      <c r="D44" t="s">
        <v>55</v>
      </c>
      <c r="E44" t="s">
        <v>45</v>
      </c>
      <c r="F44" t="s">
        <v>19</v>
      </c>
      <c r="G44" t="s">
        <v>15</v>
      </c>
      <c r="H44">
        <v>37.57</v>
      </c>
      <c r="I44">
        <v>2</v>
      </c>
      <c r="J44">
        <v>75.14</v>
      </c>
      <c r="K44" t="str">
        <f t="shared" si="0"/>
        <v>Feb</v>
      </c>
      <c r="L44" t="str">
        <f t="shared" si="1"/>
        <v>Low</v>
      </c>
      <c r="M44" t="str">
        <f t="shared" si="3"/>
        <v>Low</v>
      </c>
      <c r="N44">
        <f t="shared" si="4"/>
        <v>-1175.32</v>
      </c>
      <c r="O44" s="6">
        <v>0.1</v>
      </c>
      <c r="P44">
        <f t="shared" si="2"/>
        <v>67.626000000000005</v>
      </c>
    </row>
    <row r="45" spans="1:16" x14ac:dyDescent="0.25">
      <c r="A45" t="s">
        <v>81</v>
      </c>
      <c r="B45" s="1">
        <v>45743</v>
      </c>
      <c r="C45" t="s">
        <v>38</v>
      </c>
      <c r="D45" t="s">
        <v>31</v>
      </c>
      <c r="E45" t="s">
        <v>23</v>
      </c>
      <c r="F45" t="s">
        <v>39</v>
      </c>
      <c r="G45" t="s">
        <v>36</v>
      </c>
      <c r="H45">
        <v>230.05</v>
      </c>
      <c r="I45">
        <v>14</v>
      </c>
      <c r="J45">
        <v>3220.7</v>
      </c>
      <c r="K45" t="str">
        <f t="shared" si="0"/>
        <v>Mar</v>
      </c>
      <c r="L45" t="str">
        <f t="shared" si="1"/>
        <v>High</v>
      </c>
      <c r="M45" t="str">
        <f t="shared" si="3"/>
        <v>Excellent</v>
      </c>
      <c r="N45">
        <f t="shared" si="4"/>
        <v>3145.56</v>
      </c>
      <c r="O45" s="6">
        <v>0.1</v>
      </c>
      <c r="P45">
        <f t="shared" si="2"/>
        <v>2898.63</v>
      </c>
    </row>
    <row r="46" spans="1:16" x14ac:dyDescent="0.25">
      <c r="A46" t="s">
        <v>82</v>
      </c>
      <c r="B46" s="1">
        <v>45688</v>
      </c>
      <c r="C46" t="s">
        <v>38</v>
      </c>
      <c r="D46" t="s">
        <v>22</v>
      </c>
      <c r="E46" t="s">
        <v>41</v>
      </c>
      <c r="F46" t="s">
        <v>32</v>
      </c>
      <c r="G46" t="s">
        <v>36</v>
      </c>
      <c r="H46">
        <v>86.93</v>
      </c>
      <c r="I46">
        <v>6</v>
      </c>
      <c r="J46">
        <v>521.58000000000004</v>
      </c>
      <c r="K46" t="str">
        <f t="shared" si="0"/>
        <v>Jan</v>
      </c>
      <c r="L46" t="str">
        <f t="shared" si="1"/>
        <v>Low</v>
      </c>
      <c r="M46" t="str">
        <f t="shared" si="3"/>
        <v>Average</v>
      </c>
      <c r="N46">
        <f t="shared" si="4"/>
        <v>-2699.12</v>
      </c>
      <c r="O46" s="6">
        <v>0.1</v>
      </c>
      <c r="P46">
        <f t="shared" si="2"/>
        <v>469.42200000000003</v>
      </c>
    </row>
    <row r="47" spans="1:16" x14ac:dyDescent="0.25">
      <c r="A47" t="s">
        <v>83</v>
      </c>
      <c r="B47" s="1">
        <v>45804</v>
      </c>
      <c r="C47" t="s">
        <v>17</v>
      </c>
      <c r="D47" t="s">
        <v>12</v>
      </c>
      <c r="E47" t="s">
        <v>18</v>
      </c>
      <c r="F47" t="s">
        <v>28</v>
      </c>
      <c r="G47" t="s">
        <v>20</v>
      </c>
      <c r="H47">
        <v>175.75</v>
      </c>
      <c r="I47">
        <v>14</v>
      </c>
      <c r="J47">
        <v>2460.5</v>
      </c>
      <c r="K47" t="str">
        <f t="shared" si="0"/>
        <v>May</v>
      </c>
      <c r="L47" t="str">
        <f t="shared" si="1"/>
        <v>High</v>
      </c>
      <c r="M47" t="str">
        <f t="shared" si="3"/>
        <v>Good</v>
      </c>
      <c r="N47">
        <f t="shared" si="4"/>
        <v>1938.92</v>
      </c>
      <c r="O47" s="6">
        <v>0.1</v>
      </c>
      <c r="P47">
        <f t="shared" si="2"/>
        <v>2214.4500000000003</v>
      </c>
    </row>
    <row r="48" spans="1:16" x14ac:dyDescent="0.25">
      <c r="A48" t="s">
        <v>84</v>
      </c>
      <c r="B48" s="1">
        <v>45907</v>
      </c>
      <c r="C48" t="s">
        <v>30</v>
      </c>
      <c r="D48" t="s">
        <v>35</v>
      </c>
      <c r="E48" t="s">
        <v>23</v>
      </c>
      <c r="F48" t="s">
        <v>19</v>
      </c>
      <c r="G48" t="s">
        <v>20</v>
      </c>
      <c r="H48">
        <v>98.58</v>
      </c>
      <c r="I48">
        <v>5</v>
      </c>
      <c r="J48">
        <v>492.9</v>
      </c>
      <c r="K48" t="str">
        <f t="shared" si="0"/>
        <v>Sep</v>
      </c>
      <c r="L48" t="str">
        <f t="shared" si="1"/>
        <v>Low</v>
      </c>
      <c r="M48" t="str">
        <f t="shared" si="3"/>
        <v>Low</v>
      </c>
      <c r="N48">
        <f t="shared" si="4"/>
        <v>-1967.6</v>
      </c>
      <c r="O48" s="6">
        <v>0.1</v>
      </c>
      <c r="P48">
        <f t="shared" si="2"/>
        <v>443.61</v>
      </c>
    </row>
    <row r="49" spans="1:16" x14ac:dyDescent="0.25">
      <c r="A49" t="s">
        <v>85</v>
      </c>
      <c r="B49" s="1">
        <v>45935</v>
      </c>
      <c r="C49" t="s">
        <v>17</v>
      </c>
      <c r="D49" t="s">
        <v>35</v>
      </c>
      <c r="E49" t="s">
        <v>45</v>
      </c>
      <c r="F49" t="s">
        <v>19</v>
      </c>
      <c r="G49" t="s">
        <v>20</v>
      </c>
      <c r="H49">
        <v>144.41</v>
      </c>
      <c r="I49">
        <v>2</v>
      </c>
      <c r="J49">
        <v>288.82</v>
      </c>
      <c r="K49" t="str">
        <f t="shared" si="0"/>
        <v>Oct</v>
      </c>
      <c r="L49" t="str">
        <f t="shared" si="1"/>
        <v>Low</v>
      </c>
      <c r="M49" t="str">
        <f t="shared" si="3"/>
        <v>Low</v>
      </c>
      <c r="N49">
        <f t="shared" si="4"/>
        <v>-204.07999999999998</v>
      </c>
      <c r="O49" s="6">
        <v>0.1</v>
      </c>
      <c r="P49">
        <f t="shared" si="2"/>
        <v>259.93799999999999</v>
      </c>
    </row>
    <row r="50" spans="1:16" x14ac:dyDescent="0.25">
      <c r="A50" t="s">
        <v>86</v>
      </c>
      <c r="B50" s="1">
        <v>45902</v>
      </c>
      <c r="C50" t="s">
        <v>25</v>
      </c>
      <c r="D50" t="s">
        <v>26</v>
      </c>
      <c r="E50" t="s">
        <v>45</v>
      </c>
      <c r="F50" t="s">
        <v>42</v>
      </c>
      <c r="G50" t="s">
        <v>15</v>
      </c>
      <c r="H50">
        <v>150.28</v>
      </c>
      <c r="I50">
        <v>17</v>
      </c>
      <c r="J50">
        <v>2554.7600000000002</v>
      </c>
      <c r="K50" t="str">
        <f t="shared" si="0"/>
        <v>Sep</v>
      </c>
      <c r="L50" t="str">
        <f t="shared" si="1"/>
        <v>High</v>
      </c>
      <c r="M50" t="str">
        <f t="shared" si="3"/>
        <v>Good</v>
      </c>
      <c r="N50">
        <f t="shared" si="4"/>
        <v>2265.94</v>
      </c>
      <c r="O50" s="6">
        <v>0.1</v>
      </c>
      <c r="P50">
        <f t="shared" si="2"/>
        <v>2299.2840000000001</v>
      </c>
    </row>
    <row r="51" spans="1:16" x14ac:dyDescent="0.25">
      <c r="A51" t="s">
        <v>87</v>
      </c>
      <c r="B51" s="1">
        <v>45753</v>
      </c>
      <c r="C51" t="s">
        <v>25</v>
      </c>
      <c r="D51" t="s">
        <v>22</v>
      </c>
      <c r="E51" t="s">
        <v>27</v>
      </c>
      <c r="F51" t="s">
        <v>39</v>
      </c>
      <c r="G51" t="s">
        <v>15</v>
      </c>
      <c r="H51">
        <v>70.67</v>
      </c>
      <c r="I51">
        <v>3</v>
      </c>
      <c r="J51">
        <v>212.01</v>
      </c>
      <c r="K51" t="str">
        <f t="shared" si="0"/>
        <v>Apr</v>
      </c>
      <c r="L51" t="str">
        <f t="shared" si="1"/>
        <v>Low</v>
      </c>
      <c r="M51" t="str">
        <f t="shared" si="3"/>
        <v>Low</v>
      </c>
      <c r="N51">
        <f t="shared" si="4"/>
        <v>-2342.75</v>
      </c>
      <c r="O51" s="6">
        <v>0.1</v>
      </c>
      <c r="P51">
        <f t="shared" si="2"/>
        <v>190.809</v>
      </c>
    </row>
    <row r="52" spans="1:16" x14ac:dyDescent="0.25">
      <c r="A52" t="s">
        <v>88</v>
      </c>
      <c r="B52" s="1">
        <v>45864</v>
      </c>
      <c r="C52" t="s">
        <v>25</v>
      </c>
      <c r="D52" t="s">
        <v>26</v>
      </c>
      <c r="E52" t="s">
        <v>18</v>
      </c>
      <c r="F52" t="s">
        <v>42</v>
      </c>
      <c r="G52" t="s">
        <v>15</v>
      </c>
      <c r="H52">
        <v>243.31</v>
      </c>
      <c r="I52">
        <v>4</v>
      </c>
      <c r="J52">
        <v>973.24</v>
      </c>
      <c r="K52" t="str">
        <f t="shared" si="0"/>
        <v>Jul</v>
      </c>
      <c r="L52" t="str">
        <f t="shared" si="1"/>
        <v>Low</v>
      </c>
      <c r="M52" t="str">
        <f t="shared" si="3"/>
        <v>Average</v>
      </c>
      <c r="N52">
        <f t="shared" si="4"/>
        <v>761.23</v>
      </c>
      <c r="O52" s="6">
        <v>0.1</v>
      </c>
      <c r="P52">
        <f t="shared" si="2"/>
        <v>875.91600000000005</v>
      </c>
    </row>
    <row r="53" spans="1:16" x14ac:dyDescent="0.25">
      <c r="A53" t="s">
        <v>89</v>
      </c>
      <c r="B53" s="1">
        <v>45975</v>
      </c>
      <c r="C53" t="s">
        <v>38</v>
      </c>
      <c r="D53" t="s">
        <v>12</v>
      </c>
      <c r="E53" t="s">
        <v>18</v>
      </c>
      <c r="F53" t="s">
        <v>42</v>
      </c>
      <c r="G53" t="s">
        <v>20</v>
      </c>
      <c r="H53">
        <v>200.53</v>
      </c>
      <c r="I53">
        <v>3</v>
      </c>
      <c r="J53">
        <v>601.59</v>
      </c>
      <c r="K53" t="str">
        <f t="shared" si="0"/>
        <v>Nov</v>
      </c>
      <c r="L53" t="str">
        <f t="shared" si="1"/>
        <v>Low</v>
      </c>
      <c r="M53" t="str">
        <f t="shared" si="3"/>
        <v>Average</v>
      </c>
      <c r="N53">
        <f t="shared" si="4"/>
        <v>-371.65</v>
      </c>
      <c r="O53" s="6">
        <v>0.1</v>
      </c>
      <c r="P53">
        <f t="shared" si="2"/>
        <v>541.43100000000004</v>
      </c>
    </row>
    <row r="54" spans="1:16" x14ac:dyDescent="0.25">
      <c r="A54" t="s">
        <v>90</v>
      </c>
      <c r="B54" s="1">
        <v>45819</v>
      </c>
      <c r="C54" t="s">
        <v>30</v>
      </c>
      <c r="D54" t="s">
        <v>12</v>
      </c>
      <c r="E54" t="s">
        <v>27</v>
      </c>
      <c r="F54" t="s">
        <v>32</v>
      </c>
      <c r="G54" t="s">
        <v>15</v>
      </c>
      <c r="H54">
        <v>236.69</v>
      </c>
      <c r="I54">
        <v>9</v>
      </c>
      <c r="J54">
        <v>2130.21</v>
      </c>
      <c r="K54" t="str">
        <f t="shared" si="0"/>
        <v>Jun</v>
      </c>
      <c r="L54" t="str">
        <f t="shared" si="1"/>
        <v>High</v>
      </c>
      <c r="M54" t="str">
        <f t="shared" si="3"/>
        <v>Good</v>
      </c>
      <c r="N54">
        <f t="shared" si="4"/>
        <v>1528.62</v>
      </c>
      <c r="O54" s="6">
        <v>0.1</v>
      </c>
      <c r="P54">
        <f t="shared" si="2"/>
        <v>1917.1890000000001</v>
      </c>
    </row>
    <row r="55" spans="1:16" x14ac:dyDescent="0.25">
      <c r="A55" t="s">
        <v>91</v>
      </c>
      <c r="B55" s="1">
        <v>45793</v>
      </c>
      <c r="C55" t="s">
        <v>30</v>
      </c>
      <c r="D55" t="s">
        <v>12</v>
      </c>
      <c r="E55" t="s">
        <v>27</v>
      </c>
      <c r="F55" t="s">
        <v>32</v>
      </c>
      <c r="G55" t="s">
        <v>36</v>
      </c>
      <c r="H55">
        <v>226.86</v>
      </c>
      <c r="I55">
        <v>13</v>
      </c>
      <c r="J55">
        <v>2949.18</v>
      </c>
      <c r="K55" t="str">
        <f t="shared" si="0"/>
        <v>May</v>
      </c>
      <c r="L55" t="str">
        <f t="shared" si="1"/>
        <v>High</v>
      </c>
      <c r="M55" t="str">
        <f t="shared" si="3"/>
        <v>Good</v>
      </c>
      <c r="N55">
        <f t="shared" si="4"/>
        <v>818.9699999999998</v>
      </c>
      <c r="O55" s="6">
        <v>0.1</v>
      </c>
      <c r="P55">
        <f t="shared" si="2"/>
        <v>2654.2619999999997</v>
      </c>
    </row>
    <row r="56" spans="1:16" x14ac:dyDescent="0.25">
      <c r="A56" t="s">
        <v>92</v>
      </c>
      <c r="B56" s="1">
        <v>45819</v>
      </c>
      <c r="C56" t="s">
        <v>11</v>
      </c>
      <c r="D56" t="s">
        <v>31</v>
      </c>
      <c r="E56" t="s">
        <v>18</v>
      </c>
      <c r="F56" t="s">
        <v>42</v>
      </c>
      <c r="G56" t="s">
        <v>15</v>
      </c>
      <c r="H56">
        <v>161.54</v>
      </c>
      <c r="I56">
        <v>3</v>
      </c>
      <c r="J56">
        <v>484.62</v>
      </c>
      <c r="K56" t="str">
        <f t="shared" si="0"/>
        <v>Jun</v>
      </c>
      <c r="L56" t="str">
        <f t="shared" si="1"/>
        <v>Low</v>
      </c>
      <c r="M56" t="str">
        <f t="shared" si="3"/>
        <v>Low</v>
      </c>
      <c r="N56">
        <f t="shared" si="4"/>
        <v>-2464.56</v>
      </c>
      <c r="O56" s="6">
        <v>0.1</v>
      </c>
      <c r="P56">
        <f t="shared" si="2"/>
        <v>436.15800000000002</v>
      </c>
    </row>
    <row r="57" spans="1:16" x14ac:dyDescent="0.25">
      <c r="A57" t="s">
        <v>93</v>
      </c>
      <c r="B57" s="1">
        <v>45695</v>
      </c>
      <c r="C57" t="s">
        <v>30</v>
      </c>
      <c r="D57" t="s">
        <v>55</v>
      </c>
      <c r="E57" t="s">
        <v>13</v>
      </c>
      <c r="F57" t="s">
        <v>14</v>
      </c>
      <c r="G57" t="s">
        <v>36</v>
      </c>
      <c r="H57">
        <v>232.81</v>
      </c>
      <c r="I57">
        <v>18</v>
      </c>
      <c r="J57">
        <v>4190.58</v>
      </c>
      <c r="K57" t="str">
        <f t="shared" si="0"/>
        <v>Feb</v>
      </c>
      <c r="L57" t="str">
        <f t="shared" si="1"/>
        <v>High</v>
      </c>
      <c r="M57" t="str">
        <f t="shared" si="3"/>
        <v>Excellent</v>
      </c>
      <c r="N57">
        <f t="shared" si="4"/>
        <v>3705.96</v>
      </c>
      <c r="O57" s="6">
        <v>0.1</v>
      </c>
      <c r="P57">
        <f t="shared" si="2"/>
        <v>3771.5219999999999</v>
      </c>
    </row>
    <row r="58" spans="1:16" x14ac:dyDescent="0.25">
      <c r="A58" t="s">
        <v>94</v>
      </c>
      <c r="B58" s="1">
        <v>45693</v>
      </c>
      <c r="C58" t="s">
        <v>34</v>
      </c>
      <c r="D58" t="s">
        <v>35</v>
      </c>
      <c r="E58" t="s">
        <v>23</v>
      </c>
      <c r="F58" t="s">
        <v>61</v>
      </c>
      <c r="G58" t="s">
        <v>20</v>
      </c>
      <c r="H58">
        <v>49.47</v>
      </c>
      <c r="I58">
        <v>8</v>
      </c>
      <c r="J58">
        <v>395.76</v>
      </c>
      <c r="K58" t="str">
        <f t="shared" si="0"/>
        <v>Feb</v>
      </c>
      <c r="L58" t="str">
        <f t="shared" si="1"/>
        <v>Low</v>
      </c>
      <c r="M58" t="str">
        <f t="shared" si="3"/>
        <v>Low</v>
      </c>
      <c r="N58">
        <f t="shared" si="4"/>
        <v>-3794.8199999999997</v>
      </c>
      <c r="O58" s="6">
        <v>0.1</v>
      </c>
      <c r="P58">
        <f t="shared" si="2"/>
        <v>356.18400000000003</v>
      </c>
    </row>
    <row r="59" spans="1:16" x14ac:dyDescent="0.25">
      <c r="A59" t="s">
        <v>95</v>
      </c>
      <c r="B59" s="1">
        <v>46018</v>
      </c>
      <c r="C59" t="s">
        <v>25</v>
      </c>
      <c r="D59" t="s">
        <v>12</v>
      </c>
      <c r="E59" t="s">
        <v>18</v>
      </c>
      <c r="F59" t="s">
        <v>19</v>
      </c>
      <c r="G59" t="s">
        <v>20</v>
      </c>
      <c r="H59">
        <v>73.12</v>
      </c>
      <c r="I59">
        <v>10</v>
      </c>
      <c r="J59">
        <v>731.2</v>
      </c>
      <c r="K59" t="str">
        <f t="shared" si="0"/>
        <v>Dec</v>
      </c>
      <c r="L59" t="str">
        <f t="shared" si="1"/>
        <v>Low</v>
      </c>
      <c r="M59" t="str">
        <f t="shared" si="3"/>
        <v>Average</v>
      </c>
      <c r="N59">
        <f t="shared" si="4"/>
        <v>335.44000000000005</v>
      </c>
      <c r="O59" s="6">
        <v>0.1</v>
      </c>
      <c r="P59">
        <f t="shared" si="2"/>
        <v>658.08</v>
      </c>
    </row>
    <row r="60" spans="1:16" x14ac:dyDescent="0.25">
      <c r="A60" t="s">
        <v>96</v>
      </c>
      <c r="B60" s="1">
        <v>45941</v>
      </c>
      <c r="C60" t="s">
        <v>17</v>
      </c>
      <c r="D60" t="s">
        <v>22</v>
      </c>
      <c r="E60" t="s">
        <v>23</v>
      </c>
      <c r="F60" t="s">
        <v>32</v>
      </c>
      <c r="G60" t="s">
        <v>15</v>
      </c>
      <c r="H60">
        <v>39.950000000000003</v>
      </c>
      <c r="I60">
        <v>10</v>
      </c>
      <c r="J60">
        <v>399.5</v>
      </c>
      <c r="K60" t="str">
        <f t="shared" si="0"/>
        <v>Oct</v>
      </c>
      <c r="L60" t="str">
        <f t="shared" si="1"/>
        <v>Low</v>
      </c>
      <c r="M60" t="str">
        <f t="shared" si="3"/>
        <v>Low</v>
      </c>
      <c r="N60">
        <f t="shared" si="4"/>
        <v>-331.70000000000005</v>
      </c>
      <c r="O60" s="6">
        <v>0.1</v>
      </c>
      <c r="P60">
        <f t="shared" si="2"/>
        <v>359.55</v>
      </c>
    </row>
    <row r="61" spans="1:16" x14ac:dyDescent="0.25">
      <c r="A61" t="s">
        <v>97</v>
      </c>
      <c r="B61" s="1">
        <v>45712</v>
      </c>
      <c r="C61" t="s">
        <v>30</v>
      </c>
      <c r="D61" t="s">
        <v>35</v>
      </c>
      <c r="E61" t="s">
        <v>13</v>
      </c>
      <c r="F61" t="s">
        <v>42</v>
      </c>
      <c r="G61" t="s">
        <v>15</v>
      </c>
      <c r="H61">
        <v>101.57</v>
      </c>
      <c r="I61">
        <v>18</v>
      </c>
      <c r="J61">
        <v>1828.26</v>
      </c>
      <c r="K61" t="str">
        <f t="shared" si="0"/>
        <v>Feb</v>
      </c>
      <c r="L61" t="str">
        <f t="shared" si="1"/>
        <v>Low</v>
      </c>
      <c r="M61" t="str">
        <f t="shared" si="3"/>
        <v>Good</v>
      </c>
      <c r="N61">
        <f t="shared" si="4"/>
        <v>1428.76</v>
      </c>
      <c r="O61" s="6">
        <v>0.1</v>
      </c>
      <c r="P61">
        <f t="shared" si="2"/>
        <v>1645.434</v>
      </c>
    </row>
    <row r="62" spans="1:16" x14ac:dyDescent="0.25">
      <c r="A62" t="s">
        <v>98</v>
      </c>
      <c r="B62" s="1">
        <v>45833</v>
      </c>
      <c r="C62" t="s">
        <v>17</v>
      </c>
      <c r="D62" t="s">
        <v>12</v>
      </c>
      <c r="E62" t="s">
        <v>13</v>
      </c>
      <c r="F62" t="s">
        <v>42</v>
      </c>
      <c r="G62" t="s">
        <v>36</v>
      </c>
      <c r="H62">
        <v>115.51</v>
      </c>
      <c r="I62">
        <v>7</v>
      </c>
      <c r="J62">
        <v>808.57</v>
      </c>
      <c r="K62" t="str">
        <f t="shared" si="0"/>
        <v>Jun</v>
      </c>
      <c r="L62" t="str">
        <f t="shared" si="1"/>
        <v>Low</v>
      </c>
      <c r="M62" t="str">
        <f t="shared" si="3"/>
        <v>Average</v>
      </c>
      <c r="N62">
        <f t="shared" si="4"/>
        <v>-1019.6899999999999</v>
      </c>
      <c r="O62" s="6">
        <v>0.1</v>
      </c>
      <c r="P62">
        <f t="shared" si="2"/>
        <v>727.71300000000008</v>
      </c>
    </row>
    <row r="63" spans="1:16" x14ac:dyDescent="0.25">
      <c r="A63" t="s">
        <v>99</v>
      </c>
      <c r="B63" s="1">
        <v>45786</v>
      </c>
      <c r="C63" t="s">
        <v>11</v>
      </c>
      <c r="D63" t="s">
        <v>12</v>
      </c>
      <c r="E63" t="s">
        <v>41</v>
      </c>
      <c r="F63" t="s">
        <v>39</v>
      </c>
      <c r="G63" t="s">
        <v>36</v>
      </c>
      <c r="H63">
        <v>89.7</v>
      </c>
      <c r="I63">
        <v>2</v>
      </c>
      <c r="J63">
        <v>179.4</v>
      </c>
      <c r="K63" t="str">
        <f t="shared" si="0"/>
        <v>May</v>
      </c>
      <c r="L63" t="str">
        <f t="shared" si="1"/>
        <v>Low</v>
      </c>
      <c r="M63" t="str">
        <f t="shared" si="3"/>
        <v>Low</v>
      </c>
      <c r="N63">
        <f t="shared" si="4"/>
        <v>-629.17000000000007</v>
      </c>
      <c r="O63" s="6">
        <v>0.1</v>
      </c>
      <c r="P63">
        <f t="shared" si="2"/>
        <v>161.46</v>
      </c>
    </row>
    <row r="64" spans="1:16" x14ac:dyDescent="0.25">
      <c r="A64" t="s">
        <v>100</v>
      </c>
      <c r="B64" s="1">
        <v>45680</v>
      </c>
      <c r="C64" t="s">
        <v>34</v>
      </c>
      <c r="D64" t="s">
        <v>26</v>
      </c>
      <c r="E64" t="s">
        <v>27</v>
      </c>
      <c r="F64" t="s">
        <v>32</v>
      </c>
      <c r="G64" t="s">
        <v>15</v>
      </c>
      <c r="H64">
        <v>212.32</v>
      </c>
      <c r="I64">
        <v>1</v>
      </c>
      <c r="J64">
        <v>212.32</v>
      </c>
      <c r="K64" t="str">
        <f t="shared" si="0"/>
        <v>Jan</v>
      </c>
      <c r="L64" t="str">
        <f t="shared" si="1"/>
        <v>Low</v>
      </c>
      <c r="M64" t="str">
        <f t="shared" si="3"/>
        <v>Low</v>
      </c>
      <c r="N64">
        <f t="shared" si="4"/>
        <v>32.919999999999987</v>
      </c>
      <c r="O64" s="6">
        <v>0.1</v>
      </c>
      <c r="P64">
        <f t="shared" si="2"/>
        <v>191.08799999999999</v>
      </c>
    </row>
    <row r="65" spans="1:16" x14ac:dyDescent="0.25">
      <c r="A65" t="s">
        <v>101</v>
      </c>
      <c r="B65" s="1">
        <v>45884</v>
      </c>
      <c r="C65" t="s">
        <v>17</v>
      </c>
      <c r="D65" t="s">
        <v>31</v>
      </c>
      <c r="E65" t="s">
        <v>18</v>
      </c>
      <c r="F65" t="s">
        <v>19</v>
      </c>
      <c r="G65" t="s">
        <v>15</v>
      </c>
      <c r="H65">
        <v>108.49</v>
      </c>
      <c r="I65">
        <v>18</v>
      </c>
      <c r="J65">
        <v>1952.82</v>
      </c>
      <c r="K65" t="str">
        <f t="shared" si="0"/>
        <v>Aug</v>
      </c>
      <c r="L65" t="str">
        <f t="shared" si="1"/>
        <v>Low</v>
      </c>
      <c r="M65" t="str">
        <f t="shared" si="3"/>
        <v>Good</v>
      </c>
      <c r="N65">
        <f t="shared" si="4"/>
        <v>1740.5</v>
      </c>
      <c r="O65" s="6">
        <v>0.1</v>
      </c>
      <c r="P65">
        <f t="shared" si="2"/>
        <v>1757.538</v>
      </c>
    </row>
    <row r="66" spans="1:16" x14ac:dyDescent="0.25">
      <c r="A66" t="s">
        <v>102</v>
      </c>
      <c r="B66" s="1">
        <v>45696</v>
      </c>
      <c r="C66" t="s">
        <v>25</v>
      </c>
      <c r="D66" t="s">
        <v>22</v>
      </c>
      <c r="E66" t="s">
        <v>13</v>
      </c>
      <c r="F66" t="s">
        <v>42</v>
      </c>
      <c r="G66" t="s">
        <v>20</v>
      </c>
      <c r="H66">
        <v>91.81</v>
      </c>
      <c r="I66">
        <v>5</v>
      </c>
      <c r="J66">
        <v>459.05</v>
      </c>
      <c r="K66" t="str">
        <f t="shared" ref="K66:K129" si="5">TEXT(B66,"MMM")</f>
        <v>Feb</v>
      </c>
      <c r="L66" t="str">
        <f t="shared" ref="L66:L129" si="6">IF(J66&gt;2000,"High","Low")</f>
        <v>Low</v>
      </c>
      <c r="M66" t="str">
        <f t="shared" ref="M66:M129" si="7">IF(J66&gt;3000,"Excellent",
 IF(J66&gt;1500,"Good",
 IF(J66&gt;500,"Average","Low")))</f>
        <v>Low</v>
      </c>
      <c r="N66">
        <f t="shared" si="4"/>
        <v>-1493.77</v>
      </c>
      <c r="O66" s="6">
        <v>0.1</v>
      </c>
      <c r="P66">
        <f t="shared" ref="P66:P129" si="8">J66*(1-O66)</f>
        <v>413.14500000000004</v>
      </c>
    </row>
    <row r="67" spans="1:16" x14ac:dyDescent="0.25">
      <c r="A67" t="s">
        <v>103</v>
      </c>
      <c r="B67" s="1">
        <v>45733</v>
      </c>
      <c r="C67" t="s">
        <v>30</v>
      </c>
      <c r="D67" t="s">
        <v>22</v>
      </c>
      <c r="E67" t="s">
        <v>13</v>
      </c>
      <c r="F67" t="s">
        <v>32</v>
      </c>
      <c r="G67" t="s">
        <v>15</v>
      </c>
      <c r="H67">
        <v>149.38999999999999</v>
      </c>
      <c r="I67">
        <v>14</v>
      </c>
      <c r="J67">
        <v>2091.46</v>
      </c>
      <c r="K67" t="str">
        <f t="shared" si="5"/>
        <v>Mar</v>
      </c>
      <c r="L67" t="str">
        <f t="shared" si="6"/>
        <v>High</v>
      </c>
      <c r="M67" t="str">
        <f t="shared" si="7"/>
        <v>Good</v>
      </c>
      <c r="N67">
        <f t="shared" ref="N67:N130" si="9">J67-J66</f>
        <v>1632.41</v>
      </c>
      <c r="O67" s="6">
        <v>0.1</v>
      </c>
      <c r="P67">
        <f t="shared" si="8"/>
        <v>1882.3140000000001</v>
      </c>
    </row>
    <row r="68" spans="1:16" x14ac:dyDescent="0.25">
      <c r="A68" t="s">
        <v>104</v>
      </c>
      <c r="B68" s="1">
        <v>45841</v>
      </c>
      <c r="C68" t="s">
        <v>17</v>
      </c>
      <c r="D68" t="s">
        <v>26</v>
      </c>
      <c r="E68" t="s">
        <v>27</v>
      </c>
      <c r="F68" t="s">
        <v>19</v>
      </c>
      <c r="G68" t="s">
        <v>36</v>
      </c>
      <c r="H68">
        <v>61</v>
      </c>
      <c r="I68">
        <v>7</v>
      </c>
      <c r="J68">
        <v>427</v>
      </c>
      <c r="K68" t="str">
        <f t="shared" si="5"/>
        <v>Jul</v>
      </c>
      <c r="L68" t="str">
        <f t="shared" si="6"/>
        <v>Low</v>
      </c>
      <c r="M68" t="str">
        <f t="shared" si="7"/>
        <v>Low</v>
      </c>
      <c r="N68">
        <f t="shared" si="9"/>
        <v>-1664.46</v>
      </c>
      <c r="O68" s="6">
        <v>0.1</v>
      </c>
      <c r="P68">
        <f t="shared" si="8"/>
        <v>384.3</v>
      </c>
    </row>
    <row r="69" spans="1:16" x14ac:dyDescent="0.25">
      <c r="A69" t="s">
        <v>105</v>
      </c>
      <c r="B69" s="1">
        <v>45944</v>
      </c>
      <c r="C69" t="s">
        <v>25</v>
      </c>
      <c r="D69" t="s">
        <v>12</v>
      </c>
      <c r="E69" t="s">
        <v>23</v>
      </c>
      <c r="F69" t="s">
        <v>14</v>
      </c>
      <c r="G69" t="s">
        <v>15</v>
      </c>
      <c r="H69">
        <v>206.48</v>
      </c>
      <c r="I69">
        <v>14</v>
      </c>
      <c r="J69">
        <v>2890.72</v>
      </c>
      <c r="K69" t="str">
        <f t="shared" si="5"/>
        <v>Oct</v>
      </c>
      <c r="L69" t="str">
        <f t="shared" si="6"/>
        <v>High</v>
      </c>
      <c r="M69" t="str">
        <f t="shared" si="7"/>
        <v>Good</v>
      </c>
      <c r="N69">
        <f t="shared" si="9"/>
        <v>2463.7199999999998</v>
      </c>
      <c r="O69" s="6">
        <v>0.1</v>
      </c>
      <c r="P69">
        <f t="shared" si="8"/>
        <v>2601.6479999999997</v>
      </c>
    </row>
    <row r="70" spans="1:16" x14ac:dyDescent="0.25">
      <c r="A70" t="s">
        <v>106</v>
      </c>
      <c r="B70" s="1">
        <v>45748</v>
      </c>
      <c r="C70" t="s">
        <v>11</v>
      </c>
      <c r="D70" t="s">
        <v>26</v>
      </c>
      <c r="E70" t="s">
        <v>27</v>
      </c>
      <c r="F70" t="s">
        <v>32</v>
      </c>
      <c r="G70" t="s">
        <v>36</v>
      </c>
      <c r="H70">
        <v>46.4</v>
      </c>
      <c r="I70">
        <v>14</v>
      </c>
      <c r="J70">
        <v>649.6</v>
      </c>
      <c r="K70" t="str">
        <f t="shared" si="5"/>
        <v>Apr</v>
      </c>
      <c r="L70" t="str">
        <f t="shared" si="6"/>
        <v>Low</v>
      </c>
      <c r="M70" t="str">
        <f t="shared" si="7"/>
        <v>Average</v>
      </c>
      <c r="N70">
        <f t="shared" si="9"/>
        <v>-2241.12</v>
      </c>
      <c r="O70" s="6">
        <v>0.1</v>
      </c>
      <c r="P70">
        <f t="shared" si="8"/>
        <v>584.64</v>
      </c>
    </row>
    <row r="71" spans="1:16" x14ac:dyDescent="0.25">
      <c r="A71" t="s">
        <v>107</v>
      </c>
      <c r="B71" s="1">
        <v>46000</v>
      </c>
      <c r="C71" t="s">
        <v>34</v>
      </c>
      <c r="D71" t="s">
        <v>26</v>
      </c>
      <c r="E71" t="s">
        <v>27</v>
      </c>
      <c r="F71" t="s">
        <v>19</v>
      </c>
      <c r="G71" t="s">
        <v>36</v>
      </c>
      <c r="H71">
        <v>247.12</v>
      </c>
      <c r="I71">
        <v>8</v>
      </c>
      <c r="J71">
        <v>1976.96</v>
      </c>
      <c r="K71" t="str">
        <f t="shared" si="5"/>
        <v>Dec</v>
      </c>
      <c r="L71" t="str">
        <f t="shared" si="6"/>
        <v>Low</v>
      </c>
      <c r="M71" t="str">
        <f t="shared" si="7"/>
        <v>Good</v>
      </c>
      <c r="N71">
        <f t="shared" si="9"/>
        <v>1327.3600000000001</v>
      </c>
      <c r="O71" s="6">
        <v>0.1</v>
      </c>
      <c r="P71">
        <f t="shared" si="8"/>
        <v>1779.2640000000001</v>
      </c>
    </row>
    <row r="72" spans="1:16" x14ac:dyDescent="0.25">
      <c r="A72" t="s">
        <v>108</v>
      </c>
      <c r="B72" s="1">
        <v>45677</v>
      </c>
      <c r="C72" t="s">
        <v>30</v>
      </c>
      <c r="D72" t="s">
        <v>26</v>
      </c>
      <c r="E72" t="s">
        <v>41</v>
      </c>
      <c r="F72" t="s">
        <v>32</v>
      </c>
      <c r="G72" t="s">
        <v>36</v>
      </c>
      <c r="H72">
        <v>199.89</v>
      </c>
      <c r="I72">
        <v>16</v>
      </c>
      <c r="J72">
        <v>3198.24</v>
      </c>
      <c r="K72" t="str">
        <f t="shared" si="5"/>
        <v>Jan</v>
      </c>
      <c r="L72" t="str">
        <f t="shared" si="6"/>
        <v>High</v>
      </c>
      <c r="M72" t="str">
        <f t="shared" si="7"/>
        <v>Excellent</v>
      </c>
      <c r="N72">
        <f t="shared" si="9"/>
        <v>1221.2799999999997</v>
      </c>
      <c r="O72" s="6">
        <v>0.1</v>
      </c>
      <c r="P72">
        <f t="shared" si="8"/>
        <v>2878.4159999999997</v>
      </c>
    </row>
    <row r="73" spans="1:16" x14ac:dyDescent="0.25">
      <c r="A73" t="s">
        <v>109</v>
      </c>
      <c r="B73" s="1">
        <v>45774</v>
      </c>
      <c r="C73" t="s">
        <v>11</v>
      </c>
      <c r="D73" t="s">
        <v>12</v>
      </c>
      <c r="E73" t="s">
        <v>23</v>
      </c>
      <c r="F73" t="s">
        <v>61</v>
      </c>
      <c r="G73" t="s">
        <v>36</v>
      </c>
      <c r="H73">
        <v>73.72</v>
      </c>
      <c r="I73">
        <v>8</v>
      </c>
      <c r="J73">
        <v>589.76</v>
      </c>
      <c r="K73" t="str">
        <f t="shared" si="5"/>
        <v>Apr</v>
      </c>
      <c r="L73" t="str">
        <f t="shared" si="6"/>
        <v>Low</v>
      </c>
      <c r="M73" t="str">
        <f t="shared" si="7"/>
        <v>Average</v>
      </c>
      <c r="N73">
        <f t="shared" si="9"/>
        <v>-2608.4799999999996</v>
      </c>
      <c r="O73" s="6">
        <v>0.1</v>
      </c>
      <c r="P73">
        <f t="shared" si="8"/>
        <v>530.78399999999999</v>
      </c>
    </row>
    <row r="74" spans="1:16" x14ac:dyDescent="0.25">
      <c r="A74" t="s">
        <v>110</v>
      </c>
      <c r="B74" s="1">
        <v>45800</v>
      </c>
      <c r="C74" t="s">
        <v>34</v>
      </c>
      <c r="D74" t="s">
        <v>35</v>
      </c>
      <c r="E74" t="s">
        <v>27</v>
      </c>
      <c r="F74" t="s">
        <v>42</v>
      </c>
      <c r="G74" t="s">
        <v>36</v>
      </c>
      <c r="H74">
        <v>31.21</v>
      </c>
      <c r="I74">
        <v>3</v>
      </c>
      <c r="J74">
        <v>93.63</v>
      </c>
      <c r="K74" t="str">
        <f t="shared" si="5"/>
        <v>May</v>
      </c>
      <c r="L74" t="str">
        <f t="shared" si="6"/>
        <v>Low</v>
      </c>
      <c r="M74" t="str">
        <f t="shared" si="7"/>
        <v>Low</v>
      </c>
      <c r="N74">
        <f t="shared" si="9"/>
        <v>-496.13</v>
      </c>
      <c r="O74" s="6">
        <v>0.1</v>
      </c>
      <c r="P74">
        <f t="shared" si="8"/>
        <v>84.266999999999996</v>
      </c>
    </row>
    <row r="75" spans="1:16" x14ac:dyDescent="0.25">
      <c r="A75" t="s">
        <v>111</v>
      </c>
      <c r="B75" s="1">
        <v>46005</v>
      </c>
      <c r="C75" t="s">
        <v>34</v>
      </c>
      <c r="D75" t="s">
        <v>22</v>
      </c>
      <c r="E75" t="s">
        <v>45</v>
      </c>
      <c r="F75" t="s">
        <v>32</v>
      </c>
      <c r="G75" t="s">
        <v>15</v>
      </c>
      <c r="H75">
        <v>209.4</v>
      </c>
      <c r="I75">
        <v>18</v>
      </c>
      <c r="J75">
        <v>3769.2</v>
      </c>
      <c r="K75" t="str">
        <f t="shared" si="5"/>
        <v>Dec</v>
      </c>
      <c r="L75" t="str">
        <f t="shared" si="6"/>
        <v>High</v>
      </c>
      <c r="M75" t="str">
        <f t="shared" si="7"/>
        <v>Excellent</v>
      </c>
      <c r="N75">
        <f t="shared" si="9"/>
        <v>3675.5699999999997</v>
      </c>
      <c r="O75" s="6">
        <v>0.1</v>
      </c>
      <c r="P75">
        <f t="shared" si="8"/>
        <v>3392.2799999999997</v>
      </c>
    </row>
    <row r="76" spans="1:16" x14ac:dyDescent="0.25">
      <c r="A76" t="s">
        <v>112</v>
      </c>
      <c r="B76" s="1">
        <v>45955</v>
      </c>
      <c r="C76" t="s">
        <v>11</v>
      </c>
      <c r="D76" t="s">
        <v>22</v>
      </c>
      <c r="E76" t="s">
        <v>18</v>
      </c>
      <c r="F76" t="s">
        <v>61</v>
      </c>
      <c r="G76" t="s">
        <v>36</v>
      </c>
      <c r="H76">
        <v>185.51</v>
      </c>
      <c r="I76">
        <v>9</v>
      </c>
      <c r="J76">
        <v>1669.59</v>
      </c>
      <c r="K76" t="str">
        <f t="shared" si="5"/>
        <v>Oct</v>
      </c>
      <c r="L76" t="str">
        <f t="shared" si="6"/>
        <v>Low</v>
      </c>
      <c r="M76" t="str">
        <f t="shared" si="7"/>
        <v>Good</v>
      </c>
      <c r="N76">
        <f t="shared" si="9"/>
        <v>-2099.6099999999997</v>
      </c>
      <c r="O76" s="6">
        <v>0.1</v>
      </c>
      <c r="P76">
        <f t="shared" si="8"/>
        <v>1502.6309999999999</v>
      </c>
    </row>
    <row r="77" spans="1:16" x14ac:dyDescent="0.25">
      <c r="A77" t="s">
        <v>113</v>
      </c>
      <c r="B77" s="1">
        <v>45818</v>
      </c>
      <c r="C77" t="s">
        <v>25</v>
      </c>
      <c r="D77" t="s">
        <v>55</v>
      </c>
      <c r="E77" t="s">
        <v>45</v>
      </c>
      <c r="F77" t="s">
        <v>61</v>
      </c>
      <c r="G77" t="s">
        <v>20</v>
      </c>
      <c r="H77">
        <v>190.38</v>
      </c>
      <c r="I77">
        <v>14</v>
      </c>
      <c r="J77">
        <v>2665.32</v>
      </c>
      <c r="K77" t="str">
        <f t="shared" si="5"/>
        <v>Jun</v>
      </c>
      <c r="L77" t="str">
        <f t="shared" si="6"/>
        <v>High</v>
      </c>
      <c r="M77" t="str">
        <f t="shared" si="7"/>
        <v>Good</v>
      </c>
      <c r="N77">
        <f t="shared" si="9"/>
        <v>995.73000000000025</v>
      </c>
      <c r="O77" s="6">
        <v>0.1</v>
      </c>
      <c r="P77">
        <f t="shared" si="8"/>
        <v>2398.788</v>
      </c>
    </row>
    <row r="78" spans="1:16" x14ac:dyDescent="0.25">
      <c r="A78" t="s">
        <v>114</v>
      </c>
      <c r="B78" s="1">
        <v>45755</v>
      </c>
      <c r="C78" t="s">
        <v>11</v>
      </c>
      <c r="D78" t="s">
        <v>12</v>
      </c>
      <c r="E78" t="s">
        <v>41</v>
      </c>
      <c r="F78" t="s">
        <v>19</v>
      </c>
      <c r="G78" t="s">
        <v>20</v>
      </c>
      <c r="H78">
        <v>199.68</v>
      </c>
      <c r="I78">
        <v>9</v>
      </c>
      <c r="J78">
        <v>1797.12</v>
      </c>
      <c r="K78" t="str">
        <f t="shared" si="5"/>
        <v>Apr</v>
      </c>
      <c r="L78" t="str">
        <f t="shared" si="6"/>
        <v>Low</v>
      </c>
      <c r="M78" t="str">
        <f t="shared" si="7"/>
        <v>Good</v>
      </c>
      <c r="N78">
        <f t="shared" si="9"/>
        <v>-868.20000000000027</v>
      </c>
      <c r="O78" s="6">
        <v>0.1</v>
      </c>
      <c r="P78">
        <f t="shared" si="8"/>
        <v>1617.4079999999999</v>
      </c>
    </row>
    <row r="79" spans="1:16" x14ac:dyDescent="0.25">
      <c r="A79" t="s">
        <v>115</v>
      </c>
      <c r="B79" s="1">
        <v>45933</v>
      </c>
      <c r="C79" t="s">
        <v>34</v>
      </c>
      <c r="D79" t="s">
        <v>31</v>
      </c>
      <c r="E79" t="s">
        <v>45</v>
      </c>
      <c r="F79" t="s">
        <v>28</v>
      </c>
      <c r="G79" t="s">
        <v>36</v>
      </c>
      <c r="H79">
        <v>46.29</v>
      </c>
      <c r="I79">
        <v>7</v>
      </c>
      <c r="J79">
        <v>324.02999999999997</v>
      </c>
      <c r="K79" t="str">
        <f t="shared" si="5"/>
        <v>Oct</v>
      </c>
      <c r="L79" t="str">
        <f t="shared" si="6"/>
        <v>Low</v>
      </c>
      <c r="M79" t="str">
        <f t="shared" si="7"/>
        <v>Low</v>
      </c>
      <c r="N79">
        <f t="shared" si="9"/>
        <v>-1473.09</v>
      </c>
      <c r="O79" s="6">
        <v>0.1</v>
      </c>
      <c r="P79">
        <f t="shared" si="8"/>
        <v>291.62700000000001</v>
      </c>
    </row>
    <row r="80" spans="1:16" x14ac:dyDescent="0.25">
      <c r="A80" t="s">
        <v>116</v>
      </c>
      <c r="B80" s="1">
        <v>45977</v>
      </c>
      <c r="C80" t="s">
        <v>17</v>
      </c>
      <c r="D80" t="s">
        <v>22</v>
      </c>
      <c r="E80" t="s">
        <v>27</v>
      </c>
      <c r="F80" t="s">
        <v>32</v>
      </c>
      <c r="G80" t="s">
        <v>20</v>
      </c>
      <c r="H80">
        <v>108.86</v>
      </c>
      <c r="I80">
        <v>11</v>
      </c>
      <c r="J80">
        <v>1197.46</v>
      </c>
      <c r="K80" t="str">
        <f t="shared" si="5"/>
        <v>Nov</v>
      </c>
      <c r="L80" t="str">
        <f t="shared" si="6"/>
        <v>Low</v>
      </c>
      <c r="M80" t="str">
        <f t="shared" si="7"/>
        <v>Average</v>
      </c>
      <c r="N80">
        <f t="shared" si="9"/>
        <v>873.43000000000006</v>
      </c>
      <c r="O80" s="6">
        <v>0.1</v>
      </c>
      <c r="P80">
        <f t="shared" si="8"/>
        <v>1077.7140000000002</v>
      </c>
    </row>
    <row r="81" spans="1:16" x14ac:dyDescent="0.25">
      <c r="A81" t="s">
        <v>117</v>
      </c>
      <c r="B81" s="1">
        <v>45816</v>
      </c>
      <c r="C81" t="s">
        <v>34</v>
      </c>
      <c r="D81" t="s">
        <v>31</v>
      </c>
      <c r="E81" t="s">
        <v>27</v>
      </c>
      <c r="F81" t="s">
        <v>32</v>
      </c>
      <c r="G81" t="s">
        <v>20</v>
      </c>
      <c r="H81">
        <v>55.49</v>
      </c>
      <c r="I81">
        <v>14</v>
      </c>
      <c r="J81">
        <v>776.86</v>
      </c>
      <c r="K81" t="str">
        <f t="shared" si="5"/>
        <v>Jun</v>
      </c>
      <c r="L81" t="str">
        <f t="shared" si="6"/>
        <v>Low</v>
      </c>
      <c r="M81" t="str">
        <f t="shared" si="7"/>
        <v>Average</v>
      </c>
      <c r="N81">
        <f t="shared" si="9"/>
        <v>-420.6</v>
      </c>
      <c r="O81" s="6">
        <v>0.1</v>
      </c>
      <c r="P81">
        <f t="shared" si="8"/>
        <v>699.17399999999998</v>
      </c>
    </row>
    <row r="82" spans="1:16" x14ac:dyDescent="0.25">
      <c r="A82" t="s">
        <v>118</v>
      </c>
      <c r="B82" s="1">
        <v>45723</v>
      </c>
      <c r="C82" t="s">
        <v>38</v>
      </c>
      <c r="D82" t="s">
        <v>12</v>
      </c>
      <c r="E82" t="s">
        <v>41</v>
      </c>
      <c r="F82" t="s">
        <v>28</v>
      </c>
      <c r="G82" t="s">
        <v>20</v>
      </c>
      <c r="H82">
        <v>219.88</v>
      </c>
      <c r="I82">
        <v>7</v>
      </c>
      <c r="J82">
        <v>1539.16</v>
      </c>
      <c r="K82" t="str">
        <f t="shared" si="5"/>
        <v>Mar</v>
      </c>
      <c r="L82" t="str">
        <f t="shared" si="6"/>
        <v>Low</v>
      </c>
      <c r="M82" t="str">
        <f t="shared" si="7"/>
        <v>Good</v>
      </c>
      <c r="N82">
        <f t="shared" si="9"/>
        <v>762.30000000000007</v>
      </c>
      <c r="O82" s="6">
        <v>0.1</v>
      </c>
      <c r="P82">
        <f t="shared" si="8"/>
        <v>1385.2440000000001</v>
      </c>
    </row>
    <row r="83" spans="1:16" x14ac:dyDescent="0.25">
      <c r="A83" t="s">
        <v>119</v>
      </c>
      <c r="B83" s="1">
        <v>45747</v>
      </c>
      <c r="C83" t="s">
        <v>25</v>
      </c>
      <c r="D83" t="s">
        <v>35</v>
      </c>
      <c r="E83" t="s">
        <v>41</v>
      </c>
      <c r="F83" t="s">
        <v>42</v>
      </c>
      <c r="G83" t="s">
        <v>15</v>
      </c>
      <c r="H83">
        <v>167.13</v>
      </c>
      <c r="I83">
        <v>20</v>
      </c>
      <c r="J83">
        <v>3342.6</v>
      </c>
      <c r="K83" t="str">
        <f t="shared" si="5"/>
        <v>Mar</v>
      </c>
      <c r="L83" t="str">
        <f t="shared" si="6"/>
        <v>High</v>
      </c>
      <c r="M83" t="str">
        <f t="shared" si="7"/>
        <v>Excellent</v>
      </c>
      <c r="N83">
        <f t="shared" si="9"/>
        <v>1803.4399999999998</v>
      </c>
      <c r="O83" s="6">
        <v>0.1</v>
      </c>
      <c r="P83">
        <f t="shared" si="8"/>
        <v>3008.34</v>
      </c>
    </row>
    <row r="84" spans="1:16" x14ac:dyDescent="0.25">
      <c r="A84" t="s">
        <v>120</v>
      </c>
      <c r="B84" s="1">
        <v>45813</v>
      </c>
      <c r="C84" t="s">
        <v>30</v>
      </c>
      <c r="D84" t="s">
        <v>31</v>
      </c>
      <c r="E84" t="s">
        <v>18</v>
      </c>
      <c r="F84" t="s">
        <v>42</v>
      </c>
      <c r="G84" t="s">
        <v>20</v>
      </c>
      <c r="H84">
        <v>102.8</v>
      </c>
      <c r="I84">
        <v>10</v>
      </c>
      <c r="J84">
        <v>1028</v>
      </c>
      <c r="K84" t="str">
        <f t="shared" si="5"/>
        <v>Jun</v>
      </c>
      <c r="L84" t="str">
        <f t="shared" si="6"/>
        <v>Low</v>
      </c>
      <c r="M84" t="str">
        <f t="shared" si="7"/>
        <v>Average</v>
      </c>
      <c r="N84">
        <f t="shared" si="9"/>
        <v>-2314.6</v>
      </c>
      <c r="O84" s="6">
        <v>0.1</v>
      </c>
      <c r="P84">
        <f t="shared" si="8"/>
        <v>925.2</v>
      </c>
    </row>
    <row r="85" spans="1:16" x14ac:dyDescent="0.25">
      <c r="A85" t="s">
        <v>121</v>
      </c>
      <c r="B85" s="1">
        <v>45822</v>
      </c>
      <c r="C85" t="s">
        <v>38</v>
      </c>
      <c r="D85" t="s">
        <v>31</v>
      </c>
      <c r="E85" t="s">
        <v>27</v>
      </c>
      <c r="F85" t="s">
        <v>14</v>
      </c>
      <c r="G85" t="s">
        <v>20</v>
      </c>
      <c r="H85">
        <v>43.98</v>
      </c>
      <c r="I85">
        <v>15</v>
      </c>
      <c r="J85">
        <v>659.7</v>
      </c>
      <c r="K85" t="str">
        <f t="shared" si="5"/>
        <v>Jun</v>
      </c>
      <c r="L85" t="str">
        <f t="shared" si="6"/>
        <v>Low</v>
      </c>
      <c r="M85" t="str">
        <f t="shared" si="7"/>
        <v>Average</v>
      </c>
      <c r="N85">
        <f t="shared" si="9"/>
        <v>-368.29999999999995</v>
      </c>
      <c r="O85" s="6">
        <v>0.1</v>
      </c>
      <c r="P85">
        <f t="shared" si="8"/>
        <v>593.73</v>
      </c>
    </row>
    <row r="86" spans="1:16" x14ac:dyDescent="0.25">
      <c r="A86" t="s">
        <v>122</v>
      </c>
      <c r="B86" s="1">
        <v>45900</v>
      </c>
      <c r="C86" t="s">
        <v>17</v>
      </c>
      <c r="D86" t="s">
        <v>22</v>
      </c>
      <c r="E86" t="s">
        <v>13</v>
      </c>
      <c r="F86" t="s">
        <v>42</v>
      </c>
      <c r="G86" t="s">
        <v>20</v>
      </c>
      <c r="H86">
        <v>98.42</v>
      </c>
      <c r="I86">
        <v>6</v>
      </c>
      <c r="J86">
        <v>590.52</v>
      </c>
      <c r="K86" t="str">
        <f t="shared" si="5"/>
        <v>Aug</v>
      </c>
      <c r="L86" t="str">
        <f t="shared" si="6"/>
        <v>Low</v>
      </c>
      <c r="M86" t="str">
        <f t="shared" si="7"/>
        <v>Average</v>
      </c>
      <c r="N86">
        <f t="shared" si="9"/>
        <v>-69.180000000000064</v>
      </c>
      <c r="O86" s="6">
        <v>0.1</v>
      </c>
      <c r="P86">
        <f t="shared" si="8"/>
        <v>531.46799999999996</v>
      </c>
    </row>
    <row r="87" spans="1:16" x14ac:dyDescent="0.25">
      <c r="A87" t="s">
        <v>123</v>
      </c>
      <c r="B87" s="1">
        <v>45982</v>
      </c>
      <c r="C87" t="s">
        <v>34</v>
      </c>
      <c r="D87" t="s">
        <v>22</v>
      </c>
      <c r="E87" t="s">
        <v>23</v>
      </c>
      <c r="F87" t="s">
        <v>28</v>
      </c>
      <c r="G87" t="s">
        <v>36</v>
      </c>
      <c r="H87">
        <v>101.54</v>
      </c>
      <c r="I87">
        <v>20</v>
      </c>
      <c r="J87">
        <v>2030.8</v>
      </c>
      <c r="K87" t="str">
        <f t="shared" si="5"/>
        <v>Nov</v>
      </c>
      <c r="L87" t="str">
        <f t="shared" si="6"/>
        <v>High</v>
      </c>
      <c r="M87" t="str">
        <f t="shared" si="7"/>
        <v>Good</v>
      </c>
      <c r="N87">
        <f t="shared" si="9"/>
        <v>1440.28</v>
      </c>
      <c r="O87" s="6">
        <v>0.1</v>
      </c>
      <c r="P87">
        <f t="shared" si="8"/>
        <v>1827.72</v>
      </c>
    </row>
    <row r="88" spans="1:16" x14ac:dyDescent="0.25">
      <c r="A88" t="s">
        <v>124</v>
      </c>
      <c r="B88" s="1">
        <v>45773</v>
      </c>
      <c r="C88" t="s">
        <v>30</v>
      </c>
      <c r="D88" t="s">
        <v>22</v>
      </c>
      <c r="E88" t="s">
        <v>45</v>
      </c>
      <c r="F88" t="s">
        <v>14</v>
      </c>
      <c r="G88" t="s">
        <v>36</v>
      </c>
      <c r="H88">
        <v>190.51</v>
      </c>
      <c r="I88">
        <v>7</v>
      </c>
      <c r="J88">
        <v>1333.57</v>
      </c>
      <c r="K88" t="str">
        <f t="shared" si="5"/>
        <v>Apr</v>
      </c>
      <c r="L88" t="str">
        <f t="shared" si="6"/>
        <v>Low</v>
      </c>
      <c r="M88" t="str">
        <f t="shared" si="7"/>
        <v>Average</v>
      </c>
      <c r="N88">
        <f t="shared" si="9"/>
        <v>-697.23</v>
      </c>
      <c r="O88" s="6">
        <v>0.1</v>
      </c>
      <c r="P88">
        <f t="shared" si="8"/>
        <v>1200.213</v>
      </c>
    </row>
    <row r="89" spans="1:16" x14ac:dyDescent="0.25">
      <c r="A89" t="s">
        <v>125</v>
      </c>
      <c r="B89" s="1">
        <v>45970</v>
      </c>
      <c r="C89" t="s">
        <v>38</v>
      </c>
      <c r="D89" t="s">
        <v>31</v>
      </c>
      <c r="E89" t="s">
        <v>27</v>
      </c>
      <c r="F89" t="s">
        <v>42</v>
      </c>
      <c r="G89" t="s">
        <v>15</v>
      </c>
      <c r="H89">
        <v>170.26</v>
      </c>
      <c r="I89">
        <v>3</v>
      </c>
      <c r="J89">
        <v>510.78</v>
      </c>
      <c r="K89" t="str">
        <f t="shared" si="5"/>
        <v>Nov</v>
      </c>
      <c r="L89" t="str">
        <f t="shared" si="6"/>
        <v>Low</v>
      </c>
      <c r="M89" t="str">
        <f t="shared" si="7"/>
        <v>Average</v>
      </c>
      <c r="N89">
        <f t="shared" si="9"/>
        <v>-822.79</v>
      </c>
      <c r="O89" s="6">
        <v>0.1</v>
      </c>
      <c r="P89">
        <f t="shared" si="8"/>
        <v>459.702</v>
      </c>
    </row>
    <row r="90" spans="1:16" x14ac:dyDescent="0.25">
      <c r="A90" t="s">
        <v>126</v>
      </c>
      <c r="B90" s="1">
        <v>46014</v>
      </c>
      <c r="C90" t="s">
        <v>38</v>
      </c>
      <c r="D90" t="s">
        <v>31</v>
      </c>
      <c r="E90" t="s">
        <v>23</v>
      </c>
      <c r="F90" t="s">
        <v>14</v>
      </c>
      <c r="G90" t="s">
        <v>20</v>
      </c>
      <c r="H90">
        <v>225.19</v>
      </c>
      <c r="I90">
        <v>13</v>
      </c>
      <c r="J90">
        <v>2927.47</v>
      </c>
      <c r="K90" t="str">
        <f t="shared" si="5"/>
        <v>Dec</v>
      </c>
      <c r="L90" t="str">
        <f t="shared" si="6"/>
        <v>High</v>
      </c>
      <c r="M90" t="str">
        <f t="shared" si="7"/>
        <v>Good</v>
      </c>
      <c r="N90">
        <f t="shared" si="9"/>
        <v>2416.6899999999996</v>
      </c>
      <c r="O90" s="6">
        <v>0.1</v>
      </c>
      <c r="P90">
        <f t="shared" si="8"/>
        <v>2634.723</v>
      </c>
    </row>
    <row r="91" spans="1:16" x14ac:dyDescent="0.25">
      <c r="A91" t="s">
        <v>127</v>
      </c>
      <c r="B91" s="1">
        <v>46010</v>
      </c>
      <c r="C91" t="s">
        <v>11</v>
      </c>
      <c r="D91" t="s">
        <v>31</v>
      </c>
      <c r="E91" t="s">
        <v>23</v>
      </c>
      <c r="F91" t="s">
        <v>14</v>
      </c>
      <c r="G91" t="s">
        <v>20</v>
      </c>
      <c r="H91">
        <v>133.88999999999999</v>
      </c>
      <c r="I91">
        <v>1</v>
      </c>
      <c r="J91">
        <v>133.88999999999999</v>
      </c>
      <c r="K91" t="str">
        <f t="shared" si="5"/>
        <v>Dec</v>
      </c>
      <c r="L91" t="str">
        <f t="shared" si="6"/>
        <v>Low</v>
      </c>
      <c r="M91" t="str">
        <f t="shared" si="7"/>
        <v>Low</v>
      </c>
      <c r="N91">
        <f t="shared" si="9"/>
        <v>-2793.58</v>
      </c>
      <c r="O91" s="6">
        <v>0.1</v>
      </c>
      <c r="P91">
        <f t="shared" si="8"/>
        <v>120.50099999999999</v>
      </c>
    </row>
    <row r="92" spans="1:16" x14ac:dyDescent="0.25">
      <c r="A92" t="s">
        <v>128</v>
      </c>
      <c r="B92" s="1">
        <v>45923</v>
      </c>
      <c r="C92" t="s">
        <v>11</v>
      </c>
      <c r="D92" t="s">
        <v>55</v>
      </c>
      <c r="E92" t="s">
        <v>23</v>
      </c>
      <c r="F92" t="s">
        <v>39</v>
      </c>
      <c r="G92" t="s">
        <v>15</v>
      </c>
      <c r="H92">
        <v>56.31</v>
      </c>
      <c r="I92">
        <v>15</v>
      </c>
      <c r="J92">
        <v>844.65</v>
      </c>
      <c r="K92" t="str">
        <f t="shared" si="5"/>
        <v>Sep</v>
      </c>
      <c r="L92" t="str">
        <f t="shared" si="6"/>
        <v>Low</v>
      </c>
      <c r="M92" t="str">
        <f t="shared" si="7"/>
        <v>Average</v>
      </c>
      <c r="N92">
        <f t="shared" si="9"/>
        <v>710.76</v>
      </c>
      <c r="O92" s="6">
        <v>0.1</v>
      </c>
      <c r="P92">
        <f t="shared" si="8"/>
        <v>760.18499999999995</v>
      </c>
    </row>
    <row r="93" spans="1:16" x14ac:dyDescent="0.25">
      <c r="A93" t="s">
        <v>129</v>
      </c>
      <c r="B93" s="1">
        <v>45891</v>
      </c>
      <c r="C93" t="s">
        <v>38</v>
      </c>
      <c r="D93" t="s">
        <v>12</v>
      </c>
      <c r="E93" t="s">
        <v>18</v>
      </c>
      <c r="F93" t="s">
        <v>42</v>
      </c>
      <c r="G93" t="s">
        <v>20</v>
      </c>
      <c r="H93">
        <v>186.91</v>
      </c>
      <c r="I93">
        <v>5</v>
      </c>
      <c r="J93">
        <v>934.55</v>
      </c>
      <c r="K93" t="str">
        <f t="shared" si="5"/>
        <v>Aug</v>
      </c>
      <c r="L93" t="str">
        <f t="shared" si="6"/>
        <v>Low</v>
      </c>
      <c r="M93" t="str">
        <f t="shared" si="7"/>
        <v>Average</v>
      </c>
      <c r="N93">
        <f t="shared" si="9"/>
        <v>89.899999999999977</v>
      </c>
      <c r="O93" s="6">
        <v>0.1</v>
      </c>
      <c r="P93">
        <f t="shared" si="8"/>
        <v>841.09500000000003</v>
      </c>
    </row>
    <row r="94" spans="1:16" x14ac:dyDescent="0.25">
      <c r="A94" t="s">
        <v>130</v>
      </c>
      <c r="B94" s="1">
        <v>45820</v>
      </c>
      <c r="C94" t="s">
        <v>25</v>
      </c>
      <c r="D94" t="s">
        <v>12</v>
      </c>
      <c r="E94" t="s">
        <v>18</v>
      </c>
      <c r="F94" t="s">
        <v>61</v>
      </c>
      <c r="G94" t="s">
        <v>20</v>
      </c>
      <c r="H94">
        <v>197.37</v>
      </c>
      <c r="I94">
        <v>15</v>
      </c>
      <c r="J94">
        <v>2960.55</v>
      </c>
      <c r="K94" t="str">
        <f t="shared" si="5"/>
        <v>Jun</v>
      </c>
      <c r="L94" t="str">
        <f t="shared" si="6"/>
        <v>High</v>
      </c>
      <c r="M94" t="str">
        <f t="shared" si="7"/>
        <v>Good</v>
      </c>
      <c r="N94">
        <f t="shared" si="9"/>
        <v>2026.0000000000002</v>
      </c>
      <c r="O94" s="6">
        <v>0.1</v>
      </c>
      <c r="P94">
        <f t="shared" si="8"/>
        <v>2664.4950000000003</v>
      </c>
    </row>
    <row r="95" spans="1:16" x14ac:dyDescent="0.25">
      <c r="A95" t="s">
        <v>131</v>
      </c>
      <c r="B95" s="1">
        <v>45886</v>
      </c>
      <c r="C95" t="s">
        <v>17</v>
      </c>
      <c r="D95" t="s">
        <v>31</v>
      </c>
      <c r="E95" t="s">
        <v>41</v>
      </c>
      <c r="F95" t="s">
        <v>32</v>
      </c>
      <c r="G95" t="s">
        <v>15</v>
      </c>
      <c r="H95">
        <v>153.47999999999999</v>
      </c>
      <c r="I95">
        <v>6</v>
      </c>
      <c r="J95">
        <v>920.88</v>
      </c>
      <c r="K95" t="str">
        <f t="shared" si="5"/>
        <v>Aug</v>
      </c>
      <c r="L95" t="str">
        <f t="shared" si="6"/>
        <v>Low</v>
      </c>
      <c r="M95" t="str">
        <f t="shared" si="7"/>
        <v>Average</v>
      </c>
      <c r="N95">
        <f t="shared" si="9"/>
        <v>-2039.67</v>
      </c>
      <c r="O95" s="6">
        <v>0.1</v>
      </c>
      <c r="P95">
        <f t="shared" si="8"/>
        <v>828.79200000000003</v>
      </c>
    </row>
    <row r="96" spans="1:16" x14ac:dyDescent="0.25">
      <c r="A96" t="s">
        <v>132</v>
      </c>
      <c r="B96" s="1">
        <v>45984</v>
      </c>
      <c r="C96" t="s">
        <v>25</v>
      </c>
      <c r="D96" t="s">
        <v>31</v>
      </c>
      <c r="E96" t="s">
        <v>27</v>
      </c>
      <c r="F96" t="s">
        <v>14</v>
      </c>
      <c r="G96" t="s">
        <v>36</v>
      </c>
      <c r="H96">
        <v>199.61</v>
      </c>
      <c r="I96">
        <v>9</v>
      </c>
      <c r="J96">
        <v>1796.49</v>
      </c>
      <c r="K96" t="str">
        <f t="shared" si="5"/>
        <v>Nov</v>
      </c>
      <c r="L96" t="str">
        <f t="shared" si="6"/>
        <v>Low</v>
      </c>
      <c r="M96" t="str">
        <f t="shared" si="7"/>
        <v>Good</v>
      </c>
      <c r="N96">
        <f t="shared" si="9"/>
        <v>875.61</v>
      </c>
      <c r="O96" s="6">
        <v>0.1</v>
      </c>
      <c r="P96">
        <f t="shared" si="8"/>
        <v>1616.8410000000001</v>
      </c>
    </row>
    <row r="97" spans="1:16" x14ac:dyDescent="0.25">
      <c r="A97" t="s">
        <v>133</v>
      </c>
      <c r="B97" s="1">
        <v>45883</v>
      </c>
      <c r="C97" t="s">
        <v>17</v>
      </c>
      <c r="D97" t="s">
        <v>35</v>
      </c>
      <c r="E97" t="s">
        <v>23</v>
      </c>
      <c r="F97" t="s">
        <v>32</v>
      </c>
      <c r="G97" t="s">
        <v>36</v>
      </c>
      <c r="H97">
        <v>138.63999999999999</v>
      </c>
      <c r="I97">
        <v>3</v>
      </c>
      <c r="J97">
        <v>415.92</v>
      </c>
      <c r="K97" t="str">
        <f t="shared" si="5"/>
        <v>Aug</v>
      </c>
      <c r="L97" t="str">
        <f t="shared" si="6"/>
        <v>Low</v>
      </c>
      <c r="M97" t="str">
        <f t="shared" si="7"/>
        <v>Low</v>
      </c>
      <c r="N97">
        <f t="shared" si="9"/>
        <v>-1380.57</v>
      </c>
      <c r="O97" s="6">
        <v>0.1</v>
      </c>
      <c r="P97">
        <f t="shared" si="8"/>
        <v>374.32800000000003</v>
      </c>
    </row>
    <row r="98" spans="1:16" x14ac:dyDescent="0.25">
      <c r="A98" t="s">
        <v>134</v>
      </c>
      <c r="B98" s="1">
        <v>45821</v>
      </c>
      <c r="C98" t="s">
        <v>11</v>
      </c>
      <c r="D98" t="s">
        <v>26</v>
      </c>
      <c r="E98" t="s">
        <v>23</v>
      </c>
      <c r="F98" t="s">
        <v>14</v>
      </c>
      <c r="G98" t="s">
        <v>36</v>
      </c>
      <c r="H98">
        <v>145</v>
      </c>
      <c r="I98">
        <v>18</v>
      </c>
      <c r="J98">
        <v>2610</v>
      </c>
      <c r="K98" t="str">
        <f t="shared" si="5"/>
        <v>Jun</v>
      </c>
      <c r="L98" t="str">
        <f t="shared" si="6"/>
        <v>High</v>
      </c>
      <c r="M98" t="str">
        <f t="shared" si="7"/>
        <v>Good</v>
      </c>
      <c r="N98">
        <f t="shared" si="9"/>
        <v>2194.08</v>
      </c>
      <c r="O98" s="6">
        <v>0.1</v>
      </c>
      <c r="P98">
        <f t="shared" si="8"/>
        <v>2349</v>
      </c>
    </row>
    <row r="99" spans="1:16" x14ac:dyDescent="0.25">
      <c r="A99" t="s">
        <v>135</v>
      </c>
      <c r="B99" s="1">
        <v>46013</v>
      </c>
      <c r="C99" t="s">
        <v>17</v>
      </c>
      <c r="D99" t="s">
        <v>26</v>
      </c>
      <c r="E99" t="s">
        <v>45</v>
      </c>
      <c r="F99" t="s">
        <v>61</v>
      </c>
      <c r="G99" t="s">
        <v>36</v>
      </c>
      <c r="H99">
        <v>124.06</v>
      </c>
      <c r="I99">
        <v>5</v>
      </c>
      <c r="J99">
        <v>620.29999999999995</v>
      </c>
      <c r="K99" t="str">
        <f t="shared" si="5"/>
        <v>Dec</v>
      </c>
      <c r="L99" t="str">
        <f t="shared" si="6"/>
        <v>Low</v>
      </c>
      <c r="M99" t="str">
        <f t="shared" si="7"/>
        <v>Average</v>
      </c>
      <c r="N99">
        <f t="shared" si="9"/>
        <v>-1989.7</v>
      </c>
      <c r="O99" s="6">
        <v>0.1</v>
      </c>
      <c r="P99">
        <f t="shared" si="8"/>
        <v>558.27</v>
      </c>
    </row>
    <row r="100" spans="1:16" x14ac:dyDescent="0.25">
      <c r="A100" t="s">
        <v>136</v>
      </c>
      <c r="B100" s="1">
        <v>45827</v>
      </c>
      <c r="C100" t="s">
        <v>38</v>
      </c>
      <c r="D100" t="s">
        <v>31</v>
      </c>
      <c r="E100" t="s">
        <v>45</v>
      </c>
      <c r="F100" t="s">
        <v>14</v>
      </c>
      <c r="G100" t="s">
        <v>36</v>
      </c>
      <c r="H100">
        <v>35.590000000000003</v>
      </c>
      <c r="I100">
        <v>18</v>
      </c>
      <c r="J100">
        <v>640.62</v>
      </c>
      <c r="K100" t="str">
        <f t="shared" si="5"/>
        <v>Jun</v>
      </c>
      <c r="L100" t="str">
        <f t="shared" si="6"/>
        <v>Low</v>
      </c>
      <c r="M100" t="str">
        <f t="shared" si="7"/>
        <v>Average</v>
      </c>
      <c r="N100">
        <f t="shared" si="9"/>
        <v>20.32000000000005</v>
      </c>
      <c r="O100" s="6">
        <v>0.1</v>
      </c>
      <c r="P100">
        <f t="shared" si="8"/>
        <v>576.55799999999999</v>
      </c>
    </row>
    <row r="101" spans="1:16" x14ac:dyDescent="0.25">
      <c r="A101" t="s">
        <v>137</v>
      </c>
      <c r="B101" s="1">
        <v>45857</v>
      </c>
      <c r="C101" t="s">
        <v>17</v>
      </c>
      <c r="D101" t="s">
        <v>22</v>
      </c>
      <c r="E101" t="s">
        <v>18</v>
      </c>
      <c r="F101" t="s">
        <v>61</v>
      </c>
      <c r="G101" t="s">
        <v>36</v>
      </c>
      <c r="H101">
        <v>53.74</v>
      </c>
      <c r="I101">
        <v>19</v>
      </c>
      <c r="J101">
        <v>1021.06</v>
      </c>
      <c r="K101" t="str">
        <f t="shared" si="5"/>
        <v>Jul</v>
      </c>
      <c r="L101" t="str">
        <f t="shared" si="6"/>
        <v>Low</v>
      </c>
      <c r="M101" t="str">
        <f t="shared" si="7"/>
        <v>Average</v>
      </c>
      <c r="N101">
        <f t="shared" si="9"/>
        <v>380.43999999999994</v>
      </c>
      <c r="O101" s="6">
        <v>0.1</v>
      </c>
      <c r="P101">
        <f t="shared" si="8"/>
        <v>918.95399999999995</v>
      </c>
    </row>
    <row r="102" spans="1:16" x14ac:dyDescent="0.25">
      <c r="A102" t="s">
        <v>138</v>
      </c>
      <c r="B102" s="1">
        <v>45661</v>
      </c>
      <c r="C102" t="s">
        <v>34</v>
      </c>
      <c r="D102" t="s">
        <v>31</v>
      </c>
      <c r="E102" t="s">
        <v>41</v>
      </c>
      <c r="F102" t="s">
        <v>42</v>
      </c>
      <c r="G102" t="s">
        <v>20</v>
      </c>
      <c r="H102">
        <v>36.909999999999997</v>
      </c>
      <c r="I102">
        <v>12</v>
      </c>
      <c r="J102">
        <v>442.92</v>
      </c>
      <c r="K102" t="str">
        <f t="shared" si="5"/>
        <v>Jan</v>
      </c>
      <c r="L102" t="str">
        <f t="shared" si="6"/>
        <v>Low</v>
      </c>
      <c r="M102" t="str">
        <f t="shared" si="7"/>
        <v>Low</v>
      </c>
      <c r="N102">
        <f t="shared" si="9"/>
        <v>-578.13999999999987</v>
      </c>
      <c r="O102" s="6">
        <v>0.1</v>
      </c>
      <c r="P102">
        <f t="shared" si="8"/>
        <v>398.62800000000004</v>
      </c>
    </row>
    <row r="103" spans="1:16" x14ac:dyDescent="0.25">
      <c r="A103" t="s">
        <v>139</v>
      </c>
      <c r="B103" s="1">
        <v>45937</v>
      </c>
      <c r="C103" t="s">
        <v>30</v>
      </c>
      <c r="D103" t="s">
        <v>31</v>
      </c>
      <c r="E103" t="s">
        <v>23</v>
      </c>
      <c r="F103" t="s">
        <v>32</v>
      </c>
      <c r="G103" t="s">
        <v>36</v>
      </c>
      <c r="H103">
        <v>170.01</v>
      </c>
      <c r="I103">
        <v>20</v>
      </c>
      <c r="J103">
        <v>3400.2</v>
      </c>
      <c r="K103" t="str">
        <f t="shared" si="5"/>
        <v>Oct</v>
      </c>
      <c r="L103" t="str">
        <f t="shared" si="6"/>
        <v>High</v>
      </c>
      <c r="M103" t="str">
        <f t="shared" si="7"/>
        <v>Excellent</v>
      </c>
      <c r="N103">
        <f t="shared" si="9"/>
        <v>2957.2799999999997</v>
      </c>
      <c r="O103" s="6">
        <v>0.1</v>
      </c>
      <c r="P103">
        <f t="shared" si="8"/>
        <v>3060.18</v>
      </c>
    </row>
    <row r="104" spans="1:16" x14ac:dyDescent="0.25">
      <c r="A104" t="s">
        <v>140</v>
      </c>
      <c r="B104" s="1">
        <v>45906</v>
      </c>
      <c r="C104" t="s">
        <v>38</v>
      </c>
      <c r="D104" t="s">
        <v>35</v>
      </c>
      <c r="E104" t="s">
        <v>27</v>
      </c>
      <c r="F104" t="s">
        <v>28</v>
      </c>
      <c r="G104" t="s">
        <v>36</v>
      </c>
      <c r="H104">
        <v>99.16</v>
      </c>
      <c r="I104">
        <v>1</v>
      </c>
      <c r="J104">
        <v>99.16</v>
      </c>
      <c r="K104" t="str">
        <f t="shared" si="5"/>
        <v>Sep</v>
      </c>
      <c r="L104" t="str">
        <f t="shared" si="6"/>
        <v>Low</v>
      </c>
      <c r="M104" t="str">
        <f t="shared" si="7"/>
        <v>Low</v>
      </c>
      <c r="N104">
        <f t="shared" si="9"/>
        <v>-3301.04</v>
      </c>
      <c r="O104" s="6">
        <v>0.1</v>
      </c>
      <c r="P104">
        <f t="shared" si="8"/>
        <v>89.244</v>
      </c>
    </row>
    <row r="105" spans="1:16" x14ac:dyDescent="0.25">
      <c r="A105" t="s">
        <v>141</v>
      </c>
      <c r="B105" s="1">
        <v>45742</v>
      </c>
      <c r="C105" t="s">
        <v>30</v>
      </c>
      <c r="D105" t="s">
        <v>55</v>
      </c>
      <c r="E105" t="s">
        <v>18</v>
      </c>
      <c r="F105" t="s">
        <v>19</v>
      </c>
      <c r="G105" t="s">
        <v>36</v>
      </c>
      <c r="H105">
        <v>141.88999999999999</v>
      </c>
      <c r="I105">
        <v>15</v>
      </c>
      <c r="J105">
        <v>2128.35</v>
      </c>
      <c r="K105" t="str">
        <f t="shared" si="5"/>
        <v>Mar</v>
      </c>
      <c r="L105" t="str">
        <f t="shared" si="6"/>
        <v>High</v>
      </c>
      <c r="M105" t="str">
        <f t="shared" si="7"/>
        <v>Good</v>
      </c>
      <c r="N105">
        <f t="shared" si="9"/>
        <v>2029.1899999999998</v>
      </c>
      <c r="O105" s="6">
        <v>0.1</v>
      </c>
      <c r="P105">
        <f t="shared" si="8"/>
        <v>1915.5149999999999</v>
      </c>
    </row>
    <row r="106" spans="1:16" x14ac:dyDescent="0.25">
      <c r="A106" t="s">
        <v>142</v>
      </c>
      <c r="B106" s="1">
        <v>45961</v>
      </c>
      <c r="C106" t="s">
        <v>17</v>
      </c>
      <c r="D106" t="s">
        <v>22</v>
      </c>
      <c r="E106" t="s">
        <v>45</v>
      </c>
      <c r="F106" t="s">
        <v>28</v>
      </c>
      <c r="G106" t="s">
        <v>36</v>
      </c>
      <c r="H106">
        <v>229.66</v>
      </c>
      <c r="I106">
        <v>19</v>
      </c>
      <c r="J106">
        <v>4363.54</v>
      </c>
      <c r="K106" t="str">
        <f t="shared" si="5"/>
        <v>Oct</v>
      </c>
      <c r="L106" t="str">
        <f t="shared" si="6"/>
        <v>High</v>
      </c>
      <c r="M106" t="str">
        <f t="shared" si="7"/>
        <v>Excellent</v>
      </c>
      <c r="N106">
        <f t="shared" si="9"/>
        <v>2235.19</v>
      </c>
      <c r="O106" s="6">
        <v>0.1</v>
      </c>
      <c r="P106">
        <f t="shared" si="8"/>
        <v>3927.1860000000001</v>
      </c>
    </row>
    <row r="107" spans="1:16" x14ac:dyDescent="0.25">
      <c r="A107" t="s">
        <v>143</v>
      </c>
      <c r="B107" s="1">
        <v>45727</v>
      </c>
      <c r="C107" t="s">
        <v>30</v>
      </c>
      <c r="D107" t="s">
        <v>22</v>
      </c>
      <c r="E107" t="s">
        <v>13</v>
      </c>
      <c r="F107" t="s">
        <v>61</v>
      </c>
      <c r="G107" t="s">
        <v>36</v>
      </c>
      <c r="H107">
        <v>84.84</v>
      </c>
      <c r="I107">
        <v>15</v>
      </c>
      <c r="J107">
        <v>1272.5999999999999</v>
      </c>
      <c r="K107" t="str">
        <f t="shared" si="5"/>
        <v>Mar</v>
      </c>
      <c r="L107" t="str">
        <f t="shared" si="6"/>
        <v>Low</v>
      </c>
      <c r="M107" t="str">
        <f t="shared" si="7"/>
        <v>Average</v>
      </c>
      <c r="N107">
        <f t="shared" si="9"/>
        <v>-3090.94</v>
      </c>
      <c r="O107" s="6">
        <v>0.1</v>
      </c>
      <c r="P107">
        <f t="shared" si="8"/>
        <v>1145.3399999999999</v>
      </c>
    </row>
    <row r="108" spans="1:16" x14ac:dyDescent="0.25">
      <c r="A108" t="s">
        <v>144</v>
      </c>
      <c r="B108" s="1">
        <v>45766</v>
      </c>
      <c r="C108" t="s">
        <v>34</v>
      </c>
      <c r="D108" t="s">
        <v>35</v>
      </c>
      <c r="E108" t="s">
        <v>41</v>
      </c>
      <c r="F108" t="s">
        <v>32</v>
      </c>
      <c r="G108" t="s">
        <v>36</v>
      </c>
      <c r="H108">
        <v>120.28</v>
      </c>
      <c r="I108">
        <v>15</v>
      </c>
      <c r="J108">
        <v>1804.2</v>
      </c>
      <c r="K108" t="str">
        <f t="shared" si="5"/>
        <v>Apr</v>
      </c>
      <c r="L108" t="str">
        <f t="shared" si="6"/>
        <v>Low</v>
      </c>
      <c r="M108" t="str">
        <f t="shared" si="7"/>
        <v>Good</v>
      </c>
      <c r="N108">
        <f t="shared" si="9"/>
        <v>531.60000000000014</v>
      </c>
      <c r="O108" s="6">
        <v>0.1</v>
      </c>
      <c r="P108">
        <f t="shared" si="8"/>
        <v>1623.78</v>
      </c>
    </row>
    <row r="109" spans="1:16" x14ac:dyDescent="0.25">
      <c r="A109" t="s">
        <v>145</v>
      </c>
      <c r="B109" s="1">
        <v>45787</v>
      </c>
      <c r="C109" t="s">
        <v>38</v>
      </c>
      <c r="D109" t="s">
        <v>22</v>
      </c>
      <c r="E109" t="s">
        <v>27</v>
      </c>
      <c r="F109" t="s">
        <v>42</v>
      </c>
      <c r="G109" t="s">
        <v>15</v>
      </c>
      <c r="H109">
        <v>196.22</v>
      </c>
      <c r="I109">
        <v>3</v>
      </c>
      <c r="J109">
        <v>588.66</v>
      </c>
      <c r="K109" t="str">
        <f t="shared" si="5"/>
        <v>May</v>
      </c>
      <c r="L109" t="str">
        <f t="shared" si="6"/>
        <v>Low</v>
      </c>
      <c r="M109" t="str">
        <f t="shared" si="7"/>
        <v>Average</v>
      </c>
      <c r="N109">
        <f t="shared" si="9"/>
        <v>-1215.54</v>
      </c>
      <c r="O109" s="6">
        <v>0.1</v>
      </c>
      <c r="P109">
        <f t="shared" si="8"/>
        <v>529.79399999999998</v>
      </c>
    </row>
    <row r="110" spans="1:16" x14ac:dyDescent="0.25">
      <c r="A110" t="s">
        <v>146</v>
      </c>
      <c r="B110" s="1">
        <v>45837</v>
      </c>
      <c r="C110" t="s">
        <v>17</v>
      </c>
      <c r="D110" t="s">
        <v>22</v>
      </c>
      <c r="E110" t="s">
        <v>27</v>
      </c>
      <c r="F110" t="s">
        <v>19</v>
      </c>
      <c r="G110" t="s">
        <v>15</v>
      </c>
      <c r="H110">
        <v>80.34</v>
      </c>
      <c r="I110">
        <v>8</v>
      </c>
      <c r="J110">
        <v>642.72</v>
      </c>
      <c r="K110" t="str">
        <f t="shared" si="5"/>
        <v>Jun</v>
      </c>
      <c r="L110" t="str">
        <f t="shared" si="6"/>
        <v>Low</v>
      </c>
      <c r="M110" t="str">
        <f t="shared" si="7"/>
        <v>Average</v>
      </c>
      <c r="N110">
        <f t="shared" si="9"/>
        <v>54.060000000000059</v>
      </c>
      <c r="O110" s="6">
        <v>0.1</v>
      </c>
      <c r="P110">
        <f t="shared" si="8"/>
        <v>578.44800000000009</v>
      </c>
    </row>
    <row r="111" spans="1:16" x14ac:dyDescent="0.25">
      <c r="A111" t="s">
        <v>147</v>
      </c>
      <c r="B111" s="1">
        <v>45784</v>
      </c>
      <c r="C111" t="s">
        <v>11</v>
      </c>
      <c r="D111" t="s">
        <v>55</v>
      </c>
      <c r="E111" t="s">
        <v>23</v>
      </c>
      <c r="F111" t="s">
        <v>14</v>
      </c>
      <c r="G111" t="s">
        <v>15</v>
      </c>
      <c r="H111">
        <v>46.94</v>
      </c>
      <c r="I111">
        <v>7</v>
      </c>
      <c r="J111">
        <v>328.58</v>
      </c>
      <c r="K111" t="str">
        <f t="shared" si="5"/>
        <v>May</v>
      </c>
      <c r="L111" t="str">
        <f t="shared" si="6"/>
        <v>Low</v>
      </c>
      <c r="M111" t="str">
        <f t="shared" si="7"/>
        <v>Low</v>
      </c>
      <c r="N111">
        <f t="shared" si="9"/>
        <v>-314.14000000000004</v>
      </c>
      <c r="O111" s="6">
        <v>0.1</v>
      </c>
      <c r="P111">
        <f t="shared" si="8"/>
        <v>295.72199999999998</v>
      </c>
    </row>
    <row r="112" spans="1:16" x14ac:dyDescent="0.25">
      <c r="A112" t="s">
        <v>148</v>
      </c>
      <c r="B112" s="1">
        <v>45900</v>
      </c>
      <c r="C112" t="s">
        <v>25</v>
      </c>
      <c r="D112" t="s">
        <v>26</v>
      </c>
      <c r="E112" t="s">
        <v>41</v>
      </c>
      <c r="F112" t="s">
        <v>28</v>
      </c>
      <c r="G112" t="s">
        <v>36</v>
      </c>
      <c r="H112">
        <v>93.75</v>
      </c>
      <c r="I112">
        <v>4</v>
      </c>
      <c r="J112">
        <v>375</v>
      </c>
      <c r="K112" t="str">
        <f t="shared" si="5"/>
        <v>Aug</v>
      </c>
      <c r="L112" t="str">
        <f t="shared" si="6"/>
        <v>Low</v>
      </c>
      <c r="M112" t="str">
        <f t="shared" si="7"/>
        <v>Low</v>
      </c>
      <c r="N112">
        <f t="shared" si="9"/>
        <v>46.420000000000016</v>
      </c>
      <c r="O112" s="6">
        <v>0.1</v>
      </c>
      <c r="P112">
        <f t="shared" si="8"/>
        <v>337.5</v>
      </c>
    </row>
    <row r="113" spans="1:16" x14ac:dyDescent="0.25">
      <c r="A113" t="s">
        <v>149</v>
      </c>
      <c r="B113" s="1">
        <v>45846</v>
      </c>
      <c r="C113" t="s">
        <v>25</v>
      </c>
      <c r="D113" t="s">
        <v>55</v>
      </c>
      <c r="E113" t="s">
        <v>27</v>
      </c>
      <c r="F113" t="s">
        <v>28</v>
      </c>
      <c r="G113" t="s">
        <v>15</v>
      </c>
      <c r="H113">
        <v>65.47</v>
      </c>
      <c r="I113">
        <v>6</v>
      </c>
      <c r="J113">
        <v>392.82</v>
      </c>
      <c r="K113" t="str">
        <f t="shared" si="5"/>
        <v>Jul</v>
      </c>
      <c r="L113" t="str">
        <f t="shared" si="6"/>
        <v>Low</v>
      </c>
      <c r="M113" t="str">
        <f t="shared" si="7"/>
        <v>Low</v>
      </c>
      <c r="N113">
        <f t="shared" si="9"/>
        <v>17.819999999999993</v>
      </c>
      <c r="O113" s="6">
        <v>0.1</v>
      </c>
      <c r="P113">
        <f t="shared" si="8"/>
        <v>353.53800000000001</v>
      </c>
    </row>
    <row r="114" spans="1:16" x14ac:dyDescent="0.25">
      <c r="A114" t="s">
        <v>150</v>
      </c>
      <c r="B114" s="1">
        <v>45741</v>
      </c>
      <c r="C114" t="s">
        <v>11</v>
      </c>
      <c r="D114" t="s">
        <v>55</v>
      </c>
      <c r="E114" t="s">
        <v>45</v>
      </c>
      <c r="F114" t="s">
        <v>32</v>
      </c>
      <c r="G114" t="s">
        <v>20</v>
      </c>
      <c r="H114">
        <v>234.53</v>
      </c>
      <c r="I114">
        <v>10</v>
      </c>
      <c r="J114">
        <v>2345.3000000000002</v>
      </c>
      <c r="K114" t="str">
        <f t="shared" si="5"/>
        <v>Mar</v>
      </c>
      <c r="L114" t="str">
        <f t="shared" si="6"/>
        <v>High</v>
      </c>
      <c r="M114" t="str">
        <f t="shared" si="7"/>
        <v>Good</v>
      </c>
      <c r="N114">
        <f t="shared" si="9"/>
        <v>1952.4800000000002</v>
      </c>
      <c r="O114" s="6">
        <v>0.1</v>
      </c>
      <c r="P114">
        <f t="shared" si="8"/>
        <v>2110.7700000000004</v>
      </c>
    </row>
    <row r="115" spans="1:16" x14ac:dyDescent="0.25">
      <c r="A115" t="s">
        <v>151</v>
      </c>
      <c r="B115" s="1">
        <v>46004</v>
      </c>
      <c r="C115" t="s">
        <v>38</v>
      </c>
      <c r="D115" t="s">
        <v>12</v>
      </c>
      <c r="E115" t="s">
        <v>23</v>
      </c>
      <c r="F115" t="s">
        <v>19</v>
      </c>
      <c r="G115" t="s">
        <v>20</v>
      </c>
      <c r="H115">
        <v>207.79</v>
      </c>
      <c r="I115">
        <v>13</v>
      </c>
      <c r="J115">
        <v>2701.27</v>
      </c>
      <c r="K115" t="str">
        <f t="shared" si="5"/>
        <v>Dec</v>
      </c>
      <c r="L115" t="str">
        <f t="shared" si="6"/>
        <v>High</v>
      </c>
      <c r="M115" t="str">
        <f t="shared" si="7"/>
        <v>Good</v>
      </c>
      <c r="N115">
        <f t="shared" si="9"/>
        <v>355.9699999999998</v>
      </c>
      <c r="O115" s="6">
        <v>0.1</v>
      </c>
      <c r="P115">
        <f t="shared" si="8"/>
        <v>2431.143</v>
      </c>
    </row>
    <row r="116" spans="1:16" x14ac:dyDescent="0.25">
      <c r="A116" t="s">
        <v>152</v>
      </c>
      <c r="B116" s="1">
        <v>46011</v>
      </c>
      <c r="C116" t="s">
        <v>11</v>
      </c>
      <c r="D116" t="s">
        <v>12</v>
      </c>
      <c r="E116" t="s">
        <v>13</v>
      </c>
      <c r="F116" t="s">
        <v>39</v>
      </c>
      <c r="G116" t="s">
        <v>20</v>
      </c>
      <c r="H116">
        <v>169.35</v>
      </c>
      <c r="I116">
        <v>8</v>
      </c>
      <c r="J116">
        <v>1354.8</v>
      </c>
      <c r="K116" t="str">
        <f t="shared" si="5"/>
        <v>Dec</v>
      </c>
      <c r="L116" t="str">
        <f t="shared" si="6"/>
        <v>Low</v>
      </c>
      <c r="M116" t="str">
        <f t="shared" si="7"/>
        <v>Average</v>
      </c>
      <c r="N116">
        <f t="shared" si="9"/>
        <v>-1346.47</v>
      </c>
      <c r="O116" s="6">
        <v>0.1</v>
      </c>
      <c r="P116">
        <f t="shared" si="8"/>
        <v>1219.32</v>
      </c>
    </row>
    <row r="117" spans="1:16" x14ac:dyDescent="0.25">
      <c r="A117" t="s">
        <v>153</v>
      </c>
      <c r="B117" s="1">
        <v>45965</v>
      </c>
      <c r="C117" t="s">
        <v>25</v>
      </c>
      <c r="D117" t="s">
        <v>22</v>
      </c>
      <c r="E117" t="s">
        <v>13</v>
      </c>
      <c r="F117" t="s">
        <v>42</v>
      </c>
      <c r="G117" t="s">
        <v>36</v>
      </c>
      <c r="H117">
        <v>221.72</v>
      </c>
      <c r="I117">
        <v>4</v>
      </c>
      <c r="J117">
        <v>886.88</v>
      </c>
      <c r="K117" t="str">
        <f t="shared" si="5"/>
        <v>Nov</v>
      </c>
      <c r="L117" t="str">
        <f t="shared" si="6"/>
        <v>Low</v>
      </c>
      <c r="M117" t="str">
        <f t="shared" si="7"/>
        <v>Average</v>
      </c>
      <c r="N117">
        <f t="shared" si="9"/>
        <v>-467.91999999999996</v>
      </c>
      <c r="O117" s="6">
        <v>0.1</v>
      </c>
      <c r="P117">
        <f t="shared" si="8"/>
        <v>798.19200000000001</v>
      </c>
    </row>
    <row r="118" spans="1:16" x14ac:dyDescent="0.25">
      <c r="A118" t="s">
        <v>154</v>
      </c>
      <c r="B118" s="1">
        <v>45996</v>
      </c>
      <c r="C118" t="s">
        <v>11</v>
      </c>
      <c r="D118" t="s">
        <v>55</v>
      </c>
      <c r="E118" t="s">
        <v>27</v>
      </c>
      <c r="F118" t="s">
        <v>32</v>
      </c>
      <c r="G118" t="s">
        <v>15</v>
      </c>
      <c r="H118">
        <v>206.81</v>
      </c>
      <c r="I118">
        <v>12</v>
      </c>
      <c r="J118">
        <v>2481.7199999999998</v>
      </c>
      <c r="K118" t="str">
        <f t="shared" si="5"/>
        <v>Dec</v>
      </c>
      <c r="L118" t="str">
        <f t="shared" si="6"/>
        <v>High</v>
      </c>
      <c r="M118" t="str">
        <f t="shared" si="7"/>
        <v>Good</v>
      </c>
      <c r="N118">
        <f t="shared" si="9"/>
        <v>1594.8399999999997</v>
      </c>
      <c r="O118" s="6">
        <v>0.1</v>
      </c>
      <c r="P118">
        <f t="shared" si="8"/>
        <v>2233.5479999999998</v>
      </c>
    </row>
    <row r="119" spans="1:16" x14ac:dyDescent="0.25">
      <c r="A119" t="s">
        <v>155</v>
      </c>
      <c r="B119" s="1">
        <v>45873</v>
      </c>
      <c r="C119" t="s">
        <v>11</v>
      </c>
      <c r="D119" t="s">
        <v>31</v>
      </c>
      <c r="E119" t="s">
        <v>13</v>
      </c>
      <c r="F119" t="s">
        <v>28</v>
      </c>
      <c r="G119" t="s">
        <v>36</v>
      </c>
      <c r="H119">
        <v>71.05</v>
      </c>
      <c r="I119">
        <v>16</v>
      </c>
      <c r="J119">
        <v>1136.8</v>
      </c>
      <c r="K119" t="str">
        <f t="shared" si="5"/>
        <v>Aug</v>
      </c>
      <c r="L119" t="str">
        <f t="shared" si="6"/>
        <v>Low</v>
      </c>
      <c r="M119" t="str">
        <f t="shared" si="7"/>
        <v>Average</v>
      </c>
      <c r="N119">
        <f t="shared" si="9"/>
        <v>-1344.9199999999998</v>
      </c>
      <c r="O119" s="6">
        <v>0.1</v>
      </c>
      <c r="P119">
        <f t="shared" si="8"/>
        <v>1023.12</v>
      </c>
    </row>
    <row r="120" spans="1:16" x14ac:dyDescent="0.25">
      <c r="A120" t="s">
        <v>156</v>
      </c>
      <c r="B120" s="1">
        <v>46020</v>
      </c>
      <c r="C120" t="s">
        <v>38</v>
      </c>
      <c r="D120" t="s">
        <v>26</v>
      </c>
      <c r="E120" t="s">
        <v>27</v>
      </c>
      <c r="F120" t="s">
        <v>42</v>
      </c>
      <c r="G120" t="s">
        <v>20</v>
      </c>
      <c r="H120">
        <v>226.36</v>
      </c>
      <c r="I120">
        <v>5</v>
      </c>
      <c r="J120">
        <v>1131.8</v>
      </c>
      <c r="K120" t="str">
        <f t="shared" si="5"/>
        <v>Dec</v>
      </c>
      <c r="L120" t="str">
        <f t="shared" si="6"/>
        <v>Low</v>
      </c>
      <c r="M120" t="str">
        <f t="shared" si="7"/>
        <v>Average</v>
      </c>
      <c r="N120">
        <f t="shared" si="9"/>
        <v>-5</v>
      </c>
      <c r="O120" s="6">
        <v>0.1</v>
      </c>
      <c r="P120">
        <f t="shared" si="8"/>
        <v>1018.62</v>
      </c>
    </row>
    <row r="121" spans="1:16" x14ac:dyDescent="0.25">
      <c r="A121" t="s">
        <v>157</v>
      </c>
      <c r="B121" s="1">
        <v>45796</v>
      </c>
      <c r="C121" t="s">
        <v>25</v>
      </c>
      <c r="D121" t="s">
        <v>31</v>
      </c>
      <c r="E121" t="s">
        <v>41</v>
      </c>
      <c r="F121" t="s">
        <v>61</v>
      </c>
      <c r="G121" t="s">
        <v>20</v>
      </c>
      <c r="H121">
        <v>148.66</v>
      </c>
      <c r="I121">
        <v>20</v>
      </c>
      <c r="J121">
        <v>2973.2</v>
      </c>
      <c r="K121" t="str">
        <f t="shared" si="5"/>
        <v>May</v>
      </c>
      <c r="L121" t="str">
        <f t="shared" si="6"/>
        <v>High</v>
      </c>
      <c r="M121" t="str">
        <f t="shared" si="7"/>
        <v>Good</v>
      </c>
      <c r="N121">
        <f t="shared" si="9"/>
        <v>1841.3999999999999</v>
      </c>
      <c r="O121" s="6">
        <v>0.1</v>
      </c>
      <c r="P121">
        <f t="shared" si="8"/>
        <v>2675.88</v>
      </c>
    </row>
    <row r="122" spans="1:16" x14ac:dyDescent="0.25">
      <c r="A122" t="s">
        <v>158</v>
      </c>
      <c r="B122" s="1">
        <v>45961</v>
      </c>
      <c r="C122" t="s">
        <v>34</v>
      </c>
      <c r="D122" t="s">
        <v>26</v>
      </c>
      <c r="E122" t="s">
        <v>45</v>
      </c>
      <c r="F122" t="s">
        <v>32</v>
      </c>
      <c r="G122" t="s">
        <v>36</v>
      </c>
      <c r="H122">
        <v>207.64</v>
      </c>
      <c r="I122">
        <v>9</v>
      </c>
      <c r="J122">
        <v>1868.76</v>
      </c>
      <c r="K122" t="str">
        <f t="shared" si="5"/>
        <v>Oct</v>
      </c>
      <c r="L122" t="str">
        <f t="shared" si="6"/>
        <v>Low</v>
      </c>
      <c r="M122" t="str">
        <f t="shared" si="7"/>
        <v>Good</v>
      </c>
      <c r="N122">
        <f t="shared" si="9"/>
        <v>-1104.4399999999998</v>
      </c>
      <c r="O122" s="6">
        <v>0.1</v>
      </c>
      <c r="P122">
        <f t="shared" si="8"/>
        <v>1681.884</v>
      </c>
    </row>
    <row r="123" spans="1:16" x14ac:dyDescent="0.25">
      <c r="A123" t="s">
        <v>159</v>
      </c>
      <c r="B123" s="1">
        <v>45782</v>
      </c>
      <c r="C123" t="s">
        <v>25</v>
      </c>
      <c r="D123" t="s">
        <v>55</v>
      </c>
      <c r="E123" t="s">
        <v>27</v>
      </c>
      <c r="F123" t="s">
        <v>61</v>
      </c>
      <c r="G123" t="s">
        <v>36</v>
      </c>
      <c r="H123">
        <v>227.14</v>
      </c>
      <c r="I123">
        <v>15</v>
      </c>
      <c r="J123">
        <v>3407.1</v>
      </c>
      <c r="K123" t="str">
        <f t="shared" si="5"/>
        <v>May</v>
      </c>
      <c r="L123" t="str">
        <f t="shared" si="6"/>
        <v>High</v>
      </c>
      <c r="M123" t="str">
        <f t="shared" si="7"/>
        <v>Excellent</v>
      </c>
      <c r="N123">
        <f t="shared" si="9"/>
        <v>1538.34</v>
      </c>
      <c r="O123" s="6">
        <v>0.1</v>
      </c>
      <c r="P123">
        <f t="shared" si="8"/>
        <v>3066.39</v>
      </c>
    </row>
    <row r="124" spans="1:16" x14ac:dyDescent="0.25">
      <c r="A124" t="s">
        <v>160</v>
      </c>
      <c r="B124" s="1">
        <v>45672</v>
      </c>
      <c r="C124" t="s">
        <v>34</v>
      </c>
      <c r="D124" t="s">
        <v>26</v>
      </c>
      <c r="E124" t="s">
        <v>41</v>
      </c>
      <c r="F124" t="s">
        <v>14</v>
      </c>
      <c r="G124" t="s">
        <v>36</v>
      </c>
      <c r="H124">
        <v>99.96</v>
      </c>
      <c r="I124">
        <v>16</v>
      </c>
      <c r="J124">
        <v>1599.36</v>
      </c>
      <c r="K124" t="str">
        <f t="shared" si="5"/>
        <v>Jan</v>
      </c>
      <c r="L124" t="str">
        <f t="shared" si="6"/>
        <v>Low</v>
      </c>
      <c r="M124" t="str">
        <f t="shared" si="7"/>
        <v>Good</v>
      </c>
      <c r="N124">
        <f t="shared" si="9"/>
        <v>-1807.74</v>
      </c>
      <c r="O124" s="6">
        <v>0.1</v>
      </c>
      <c r="P124">
        <f t="shared" si="8"/>
        <v>1439.424</v>
      </c>
    </row>
    <row r="125" spans="1:16" x14ac:dyDescent="0.25">
      <c r="A125" t="s">
        <v>161</v>
      </c>
      <c r="B125" s="1">
        <v>45790</v>
      </c>
      <c r="C125" t="s">
        <v>34</v>
      </c>
      <c r="D125" t="s">
        <v>55</v>
      </c>
      <c r="E125" t="s">
        <v>27</v>
      </c>
      <c r="F125" t="s">
        <v>32</v>
      </c>
      <c r="G125" t="s">
        <v>20</v>
      </c>
      <c r="H125">
        <v>54.21</v>
      </c>
      <c r="I125">
        <v>11</v>
      </c>
      <c r="J125">
        <v>596.30999999999995</v>
      </c>
      <c r="K125" t="str">
        <f t="shared" si="5"/>
        <v>May</v>
      </c>
      <c r="L125" t="str">
        <f t="shared" si="6"/>
        <v>Low</v>
      </c>
      <c r="M125" t="str">
        <f t="shared" si="7"/>
        <v>Average</v>
      </c>
      <c r="N125">
        <f t="shared" si="9"/>
        <v>-1003.05</v>
      </c>
      <c r="O125" s="6">
        <v>0.1</v>
      </c>
      <c r="P125">
        <f t="shared" si="8"/>
        <v>536.67899999999997</v>
      </c>
    </row>
    <row r="126" spans="1:16" x14ac:dyDescent="0.25">
      <c r="A126" t="s">
        <v>162</v>
      </c>
      <c r="B126" s="1">
        <v>45663</v>
      </c>
      <c r="C126" t="s">
        <v>30</v>
      </c>
      <c r="D126" t="s">
        <v>22</v>
      </c>
      <c r="E126" t="s">
        <v>23</v>
      </c>
      <c r="F126" t="s">
        <v>28</v>
      </c>
      <c r="G126" t="s">
        <v>36</v>
      </c>
      <c r="H126">
        <v>80.150000000000006</v>
      </c>
      <c r="I126">
        <v>17</v>
      </c>
      <c r="J126">
        <v>1362.55</v>
      </c>
      <c r="K126" t="str">
        <f t="shared" si="5"/>
        <v>Jan</v>
      </c>
      <c r="L126" t="str">
        <f t="shared" si="6"/>
        <v>Low</v>
      </c>
      <c r="M126" t="str">
        <f t="shared" si="7"/>
        <v>Average</v>
      </c>
      <c r="N126">
        <f t="shared" si="9"/>
        <v>766.24</v>
      </c>
      <c r="O126" s="6">
        <v>0.1</v>
      </c>
      <c r="P126">
        <f t="shared" si="8"/>
        <v>1226.2950000000001</v>
      </c>
    </row>
    <row r="127" spans="1:16" x14ac:dyDescent="0.25">
      <c r="A127" t="s">
        <v>163</v>
      </c>
      <c r="B127" s="1">
        <v>45908</v>
      </c>
      <c r="C127" t="s">
        <v>30</v>
      </c>
      <c r="D127" t="s">
        <v>12</v>
      </c>
      <c r="E127" t="s">
        <v>41</v>
      </c>
      <c r="F127" t="s">
        <v>28</v>
      </c>
      <c r="G127" t="s">
        <v>20</v>
      </c>
      <c r="H127">
        <v>123.96</v>
      </c>
      <c r="I127">
        <v>18</v>
      </c>
      <c r="J127">
        <v>2231.2800000000002</v>
      </c>
      <c r="K127" t="str">
        <f t="shared" si="5"/>
        <v>Sep</v>
      </c>
      <c r="L127" t="str">
        <f t="shared" si="6"/>
        <v>High</v>
      </c>
      <c r="M127" t="str">
        <f t="shared" si="7"/>
        <v>Good</v>
      </c>
      <c r="N127">
        <f t="shared" si="9"/>
        <v>868.73000000000025</v>
      </c>
      <c r="O127" s="6">
        <v>0.1</v>
      </c>
      <c r="P127">
        <f t="shared" si="8"/>
        <v>2008.1520000000003</v>
      </c>
    </row>
    <row r="128" spans="1:16" x14ac:dyDescent="0.25">
      <c r="A128" t="s">
        <v>164</v>
      </c>
      <c r="B128" s="1">
        <v>45909</v>
      </c>
      <c r="C128" t="s">
        <v>11</v>
      </c>
      <c r="D128" t="s">
        <v>22</v>
      </c>
      <c r="E128" t="s">
        <v>13</v>
      </c>
      <c r="F128" t="s">
        <v>14</v>
      </c>
      <c r="G128" t="s">
        <v>36</v>
      </c>
      <c r="H128">
        <v>209.96</v>
      </c>
      <c r="I128">
        <v>15</v>
      </c>
      <c r="J128">
        <v>3149.4</v>
      </c>
      <c r="K128" t="str">
        <f t="shared" si="5"/>
        <v>Sep</v>
      </c>
      <c r="L128" t="str">
        <f t="shared" si="6"/>
        <v>High</v>
      </c>
      <c r="M128" t="str">
        <f t="shared" si="7"/>
        <v>Excellent</v>
      </c>
      <c r="N128">
        <f t="shared" si="9"/>
        <v>918.11999999999989</v>
      </c>
      <c r="O128" s="6">
        <v>0.1</v>
      </c>
      <c r="P128">
        <f t="shared" si="8"/>
        <v>2834.46</v>
      </c>
    </row>
    <row r="129" spans="1:16" x14ac:dyDescent="0.25">
      <c r="A129" t="s">
        <v>165</v>
      </c>
      <c r="B129" s="1">
        <v>46012</v>
      </c>
      <c r="C129" t="s">
        <v>34</v>
      </c>
      <c r="D129" t="s">
        <v>12</v>
      </c>
      <c r="E129" t="s">
        <v>18</v>
      </c>
      <c r="F129" t="s">
        <v>32</v>
      </c>
      <c r="G129" t="s">
        <v>36</v>
      </c>
      <c r="H129">
        <v>219.36</v>
      </c>
      <c r="I129">
        <v>8</v>
      </c>
      <c r="J129">
        <v>1754.88</v>
      </c>
      <c r="K129" t="str">
        <f t="shared" si="5"/>
        <v>Dec</v>
      </c>
      <c r="L129" t="str">
        <f t="shared" si="6"/>
        <v>Low</v>
      </c>
      <c r="M129" t="str">
        <f t="shared" si="7"/>
        <v>Good</v>
      </c>
      <c r="N129">
        <f t="shared" si="9"/>
        <v>-1394.52</v>
      </c>
      <c r="O129" s="6">
        <v>0.1</v>
      </c>
      <c r="P129">
        <f t="shared" si="8"/>
        <v>1579.3920000000001</v>
      </c>
    </row>
    <row r="130" spans="1:16" x14ac:dyDescent="0.25">
      <c r="A130" t="s">
        <v>166</v>
      </c>
      <c r="B130" s="1">
        <v>45941</v>
      </c>
      <c r="C130" t="s">
        <v>34</v>
      </c>
      <c r="D130" t="s">
        <v>31</v>
      </c>
      <c r="E130" t="s">
        <v>27</v>
      </c>
      <c r="F130" t="s">
        <v>42</v>
      </c>
      <c r="G130" t="s">
        <v>36</v>
      </c>
      <c r="H130">
        <v>31.53</v>
      </c>
      <c r="I130">
        <v>17</v>
      </c>
      <c r="J130">
        <v>536.01</v>
      </c>
      <c r="K130" t="str">
        <f t="shared" ref="K130:K193" si="10">TEXT(B130,"MMM")</f>
        <v>Oct</v>
      </c>
      <c r="L130" t="str">
        <f t="shared" ref="L130:L193" si="11">IF(J130&gt;2000,"High","Low")</f>
        <v>Low</v>
      </c>
      <c r="M130" t="str">
        <f t="shared" ref="M130:M193" si="12">IF(J130&gt;3000,"Excellent",
 IF(J130&gt;1500,"Good",
 IF(J130&gt;500,"Average","Low")))</f>
        <v>Average</v>
      </c>
      <c r="N130">
        <f t="shared" si="9"/>
        <v>-1218.8700000000001</v>
      </c>
      <c r="O130" s="6">
        <v>0.1</v>
      </c>
      <c r="P130">
        <f t="shared" ref="P130:P193" si="13">J130*(1-O130)</f>
        <v>482.40899999999999</v>
      </c>
    </row>
    <row r="131" spans="1:16" x14ac:dyDescent="0.25">
      <c r="A131" t="s">
        <v>167</v>
      </c>
      <c r="B131" s="1">
        <v>45838</v>
      </c>
      <c r="C131" t="s">
        <v>34</v>
      </c>
      <c r="D131" t="s">
        <v>35</v>
      </c>
      <c r="E131" t="s">
        <v>13</v>
      </c>
      <c r="F131" t="s">
        <v>14</v>
      </c>
      <c r="G131" t="s">
        <v>15</v>
      </c>
      <c r="H131">
        <v>142.36000000000001</v>
      </c>
      <c r="I131">
        <v>15</v>
      </c>
      <c r="J131">
        <v>2135.4</v>
      </c>
      <c r="K131" t="str">
        <f t="shared" si="10"/>
        <v>Jun</v>
      </c>
      <c r="L131" t="str">
        <f t="shared" si="11"/>
        <v>High</v>
      </c>
      <c r="M131" t="str">
        <f t="shared" si="12"/>
        <v>Good</v>
      </c>
      <c r="N131">
        <f t="shared" ref="N131:N194" si="14">J131-J130</f>
        <v>1599.39</v>
      </c>
      <c r="O131" s="6">
        <v>0.1</v>
      </c>
      <c r="P131">
        <f t="shared" si="13"/>
        <v>1921.8600000000001</v>
      </c>
    </row>
    <row r="132" spans="1:16" x14ac:dyDescent="0.25">
      <c r="A132" t="s">
        <v>168</v>
      </c>
      <c r="B132" s="1">
        <v>45756</v>
      </c>
      <c r="C132" t="s">
        <v>11</v>
      </c>
      <c r="D132" t="s">
        <v>12</v>
      </c>
      <c r="E132" t="s">
        <v>18</v>
      </c>
      <c r="F132" t="s">
        <v>39</v>
      </c>
      <c r="G132" t="s">
        <v>20</v>
      </c>
      <c r="H132">
        <v>121.83</v>
      </c>
      <c r="I132">
        <v>11</v>
      </c>
      <c r="J132">
        <v>1340.13</v>
      </c>
      <c r="K132" t="str">
        <f t="shared" si="10"/>
        <v>Apr</v>
      </c>
      <c r="L132" t="str">
        <f t="shared" si="11"/>
        <v>Low</v>
      </c>
      <c r="M132" t="str">
        <f t="shared" si="12"/>
        <v>Average</v>
      </c>
      <c r="N132">
        <f t="shared" si="14"/>
        <v>-795.27</v>
      </c>
      <c r="O132" s="6">
        <v>0.1</v>
      </c>
      <c r="P132">
        <f t="shared" si="13"/>
        <v>1206.1170000000002</v>
      </c>
    </row>
    <row r="133" spans="1:16" x14ac:dyDescent="0.25">
      <c r="A133" t="s">
        <v>169</v>
      </c>
      <c r="B133" s="1">
        <v>45752</v>
      </c>
      <c r="C133" t="s">
        <v>30</v>
      </c>
      <c r="D133" t="s">
        <v>12</v>
      </c>
      <c r="E133" t="s">
        <v>41</v>
      </c>
      <c r="F133" t="s">
        <v>32</v>
      </c>
      <c r="G133" t="s">
        <v>20</v>
      </c>
      <c r="H133">
        <v>78.86</v>
      </c>
      <c r="I133">
        <v>7</v>
      </c>
      <c r="J133">
        <v>552.02</v>
      </c>
      <c r="K133" t="str">
        <f t="shared" si="10"/>
        <v>Apr</v>
      </c>
      <c r="L133" t="str">
        <f t="shared" si="11"/>
        <v>Low</v>
      </c>
      <c r="M133" t="str">
        <f t="shared" si="12"/>
        <v>Average</v>
      </c>
      <c r="N133">
        <f t="shared" si="14"/>
        <v>-788.11000000000013</v>
      </c>
      <c r="O133" s="6">
        <v>0.1</v>
      </c>
      <c r="P133">
        <f t="shared" si="13"/>
        <v>496.81799999999998</v>
      </c>
    </row>
    <row r="134" spans="1:16" x14ac:dyDescent="0.25">
      <c r="A134" t="s">
        <v>170</v>
      </c>
      <c r="B134" s="1">
        <v>45959</v>
      </c>
      <c r="C134" t="s">
        <v>25</v>
      </c>
      <c r="D134" t="s">
        <v>35</v>
      </c>
      <c r="E134" t="s">
        <v>45</v>
      </c>
      <c r="F134" t="s">
        <v>39</v>
      </c>
      <c r="G134" t="s">
        <v>15</v>
      </c>
      <c r="H134">
        <v>56.37</v>
      </c>
      <c r="I134">
        <v>17</v>
      </c>
      <c r="J134">
        <v>958.29</v>
      </c>
      <c r="K134" t="str">
        <f t="shared" si="10"/>
        <v>Oct</v>
      </c>
      <c r="L134" t="str">
        <f t="shared" si="11"/>
        <v>Low</v>
      </c>
      <c r="M134" t="str">
        <f t="shared" si="12"/>
        <v>Average</v>
      </c>
      <c r="N134">
        <f t="shared" si="14"/>
        <v>406.27</v>
      </c>
      <c r="O134" s="6">
        <v>0.1</v>
      </c>
      <c r="P134">
        <f t="shared" si="13"/>
        <v>862.46100000000001</v>
      </c>
    </row>
    <row r="135" spans="1:16" x14ac:dyDescent="0.25">
      <c r="A135" t="s">
        <v>171</v>
      </c>
      <c r="B135" s="1">
        <v>45809</v>
      </c>
      <c r="C135" t="s">
        <v>34</v>
      </c>
      <c r="D135" t="s">
        <v>26</v>
      </c>
      <c r="E135" t="s">
        <v>13</v>
      </c>
      <c r="F135" t="s">
        <v>19</v>
      </c>
      <c r="G135" t="s">
        <v>20</v>
      </c>
      <c r="H135">
        <v>104.28</v>
      </c>
      <c r="I135">
        <v>8</v>
      </c>
      <c r="J135">
        <v>834.24</v>
      </c>
      <c r="K135" t="str">
        <f t="shared" si="10"/>
        <v>Jun</v>
      </c>
      <c r="L135" t="str">
        <f t="shared" si="11"/>
        <v>Low</v>
      </c>
      <c r="M135" t="str">
        <f t="shared" si="12"/>
        <v>Average</v>
      </c>
      <c r="N135">
        <f t="shared" si="14"/>
        <v>-124.04999999999995</v>
      </c>
      <c r="O135" s="6">
        <v>0.1</v>
      </c>
      <c r="P135">
        <f t="shared" si="13"/>
        <v>750.81600000000003</v>
      </c>
    </row>
    <row r="136" spans="1:16" x14ac:dyDescent="0.25">
      <c r="A136" t="s">
        <v>172</v>
      </c>
      <c r="B136" s="1">
        <v>45931</v>
      </c>
      <c r="C136" t="s">
        <v>34</v>
      </c>
      <c r="D136" t="s">
        <v>22</v>
      </c>
      <c r="E136" t="s">
        <v>45</v>
      </c>
      <c r="F136" t="s">
        <v>42</v>
      </c>
      <c r="G136" t="s">
        <v>36</v>
      </c>
      <c r="H136">
        <v>237.44</v>
      </c>
      <c r="I136">
        <v>5</v>
      </c>
      <c r="J136">
        <v>1187.2</v>
      </c>
      <c r="K136" t="str">
        <f t="shared" si="10"/>
        <v>Oct</v>
      </c>
      <c r="L136" t="str">
        <f t="shared" si="11"/>
        <v>Low</v>
      </c>
      <c r="M136" t="str">
        <f t="shared" si="12"/>
        <v>Average</v>
      </c>
      <c r="N136">
        <f t="shared" si="14"/>
        <v>352.96000000000004</v>
      </c>
      <c r="O136" s="6">
        <v>0.1</v>
      </c>
      <c r="P136">
        <f t="shared" si="13"/>
        <v>1068.48</v>
      </c>
    </row>
    <row r="137" spans="1:16" x14ac:dyDescent="0.25">
      <c r="A137" t="s">
        <v>173</v>
      </c>
      <c r="B137" s="1">
        <v>46015</v>
      </c>
      <c r="C137" t="s">
        <v>17</v>
      </c>
      <c r="D137" t="s">
        <v>31</v>
      </c>
      <c r="E137" t="s">
        <v>45</v>
      </c>
      <c r="F137" t="s">
        <v>39</v>
      </c>
      <c r="G137" t="s">
        <v>15</v>
      </c>
      <c r="H137">
        <v>101.1</v>
      </c>
      <c r="I137">
        <v>5</v>
      </c>
      <c r="J137">
        <v>505.5</v>
      </c>
      <c r="K137" t="str">
        <f t="shared" si="10"/>
        <v>Dec</v>
      </c>
      <c r="L137" t="str">
        <f t="shared" si="11"/>
        <v>Low</v>
      </c>
      <c r="M137" t="str">
        <f t="shared" si="12"/>
        <v>Average</v>
      </c>
      <c r="N137">
        <f t="shared" si="14"/>
        <v>-681.7</v>
      </c>
      <c r="O137" s="6">
        <v>0.1</v>
      </c>
      <c r="P137">
        <f t="shared" si="13"/>
        <v>454.95</v>
      </c>
    </row>
    <row r="138" spans="1:16" x14ac:dyDescent="0.25">
      <c r="A138" t="s">
        <v>174</v>
      </c>
      <c r="B138" s="1">
        <v>45951</v>
      </c>
      <c r="C138" t="s">
        <v>38</v>
      </c>
      <c r="D138" t="s">
        <v>31</v>
      </c>
      <c r="E138" t="s">
        <v>41</v>
      </c>
      <c r="F138" t="s">
        <v>32</v>
      </c>
      <c r="G138" t="s">
        <v>15</v>
      </c>
      <c r="H138">
        <v>144.13</v>
      </c>
      <c r="I138">
        <v>10</v>
      </c>
      <c r="J138">
        <v>1441.3</v>
      </c>
      <c r="K138" t="str">
        <f t="shared" si="10"/>
        <v>Oct</v>
      </c>
      <c r="L138" t="str">
        <f t="shared" si="11"/>
        <v>Low</v>
      </c>
      <c r="M138" t="str">
        <f t="shared" si="12"/>
        <v>Average</v>
      </c>
      <c r="N138">
        <f t="shared" si="14"/>
        <v>935.8</v>
      </c>
      <c r="O138" s="6">
        <v>0.1</v>
      </c>
      <c r="P138">
        <f t="shared" si="13"/>
        <v>1297.17</v>
      </c>
    </row>
    <row r="139" spans="1:16" x14ac:dyDescent="0.25">
      <c r="A139" t="s">
        <v>175</v>
      </c>
      <c r="B139" s="1">
        <v>45684</v>
      </c>
      <c r="C139" t="s">
        <v>38</v>
      </c>
      <c r="D139" t="s">
        <v>22</v>
      </c>
      <c r="E139" t="s">
        <v>45</v>
      </c>
      <c r="F139" t="s">
        <v>61</v>
      </c>
      <c r="G139" t="s">
        <v>36</v>
      </c>
      <c r="H139">
        <v>184.66</v>
      </c>
      <c r="I139">
        <v>9</v>
      </c>
      <c r="J139">
        <v>1661.94</v>
      </c>
      <c r="K139" t="str">
        <f t="shared" si="10"/>
        <v>Jan</v>
      </c>
      <c r="L139" t="str">
        <f t="shared" si="11"/>
        <v>Low</v>
      </c>
      <c r="M139" t="str">
        <f t="shared" si="12"/>
        <v>Good</v>
      </c>
      <c r="N139">
        <f t="shared" si="14"/>
        <v>220.6400000000001</v>
      </c>
      <c r="O139" s="6">
        <v>0.1</v>
      </c>
      <c r="P139">
        <f t="shared" si="13"/>
        <v>1495.7460000000001</v>
      </c>
    </row>
    <row r="140" spans="1:16" x14ac:dyDescent="0.25">
      <c r="A140" t="s">
        <v>176</v>
      </c>
      <c r="B140" s="1">
        <v>45695</v>
      </c>
      <c r="C140" t="s">
        <v>17</v>
      </c>
      <c r="D140" t="s">
        <v>12</v>
      </c>
      <c r="E140" t="s">
        <v>45</v>
      </c>
      <c r="F140" t="s">
        <v>14</v>
      </c>
      <c r="G140" t="s">
        <v>15</v>
      </c>
      <c r="H140">
        <v>110</v>
      </c>
      <c r="I140">
        <v>19</v>
      </c>
      <c r="J140">
        <v>2090</v>
      </c>
      <c r="K140" t="str">
        <f t="shared" si="10"/>
        <v>Feb</v>
      </c>
      <c r="L140" t="str">
        <f t="shared" si="11"/>
        <v>High</v>
      </c>
      <c r="M140" t="str">
        <f t="shared" si="12"/>
        <v>Good</v>
      </c>
      <c r="N140">
        <f t="shared" si="14"/>
        <v>428.05999999999995</v>
      </c>
      <c r="O140" s="6">
        <v>0.1</v>
      </c>
      <c r="P140">
        <f t="shared" si="13"/>
        <v>1881</v>
      </c>
    </row>
    <row r="141" spans="1:16" x14ac:dyDescent="0.25">
      <c r="A141" t="s">
        <v>177</v>
      </c>
      <c r="B141" s="1">
        <v>45946</v>
      </c>
      <c r="C141" t="s">
        <v>11</v>
      </c>
      <c r="D141" t="s">
        <v>26</v>
      </c>
      <c r="E141" t="s">
        <v>45</v>
      </c>
      <c r="F141" t="s">
        <v>42</v>
      </c>
      <c r="G141" t="s">
        <v>36</v>
      </c>
      <c r="H141">
        <v>243.79</v>
      </c>
      <c r="I141">
        <v>10</v>
      </c>
      <c r="J141">
        <v>2437.9</v>
      </c>
      <c r="K141" t="str">
        <f t="shared" si="10"/>
        <v>Oct</v>
      </c>
      <c r="L141" t="str">
        <f t="shared" si="11"/>
        <v>High</v>
      </c>
      <c r="M141" t="str">
        <f t="shared" si="12"/>
        <v>Good</v>
      </c>
      <c r="N141">
        <f t="shared" si="14"/>
        <v>347.90000000000009</v>
      </c>
      <c r="O141" s="6">
        <v>0.1</v>
      </c>
      <c r="P141">
        <f t="shared" si="13"/>
        <v>2194.11</v>
      </c>
    </row>
    <row r="142" spans="1:16" x14ac:dyDescent="0.25">
      <c r="A142" t="s">
        <v>178</v>
      </c>
      <c r="B142" s="1">
        <v>45968</v>
      </c>
      <c r="C142" t="s">
        <v>25</v>
      </c>
      <c r="D142" t="s">
        <v>26</v>
      </c>
      <c r="E142" t="s">
        <v>18</v>
      </c>
      <c r="F142" t="s">
        <v>61</v>
      </c>
      <c r="G142" t="s">
        <v>36</v>
      </c>
      <c r="H142">
        <v>241.74</v>
      </c>
      <c r="I142">
        <v>20</v>
      </c>
      <c r="J142">
        <v>4834.8</v>
      </c>
      <c r="K142" t="str">
        <f t="shared" si="10"/>
        <v>Nov</v>
      </c>
      <c r="L142" t="str">
        <f t="shared" si="11"/>
        <v>High</v>
      </c>
      <c r="M142" t="str">
        <f t="shared" si="12"/>
        <v>Excellent</v>
      </c>
      <c r="N142">
        <f t="shared" si="14"/>
        <v>2396.9</v>
      </c>
      <c r="O142" s="6">
        <v>0.1</v>
      </c>
      <c r="P142">
        <f t="shared" si="13"/>
        <v>4351.3200000000006</v>
      </c>
    </row>
    <row r="143" spans="1:16" x14ac:dyDescent="0.25">
      <c r="A143" t="s">
        <v>179</v>
      </c>
      <c r="B143" s="1">
        <v>45884</v>
      </c>
      <c r="C143" t="s">
        <v>25</v>
      </c>
      <c r="D143" t="s">
        <v>31</v>
      </c>
      <c r="E143" t="s">
        <v>13</v>
      </c>
      <c r="F143" t="s">
        <v>42</v>
      </c>
      <c r="G143" t="s">
        <v>20</v>
      </c>
      <c r="H143">
        <v>85.39</v>
      </c>
      <c r="I143">
        <v>10</v>
      </c>
      <c r="J143">
        <v>853.9</v>
      </c>
      <c r="K143" t="str">
        <f t="shared" si="10"/>
        <v>Aug</v>
      </c>
      <c r="L143" t="str">
        <f t="shared" si="11"/>
        <v>Low</v>
      </c>
      <c r="M143" t="str">
        <f t="shared" si="12"/>
        <v>Average</v>
      </c>
      <c r="N143">
        <f t="shared" si="14"/>
        <v>-3980.9</v>
      </c>
      <c r="O143" s="6">
        <v>0.1</v>
      </c>
      <c r="P143">
        <f t="shared" si="13"/>
        <v>768.51</v>
      </c>
    </row>
    <row r="144" spans="1:16" x14ac:dyDescent="0.25">
      <c r="A144" t="s">
        <v>180</v>
      </c>
      <c r="B144" s="1">
        <v>45688</v>
      </c>
      <c r="C144" t="s">
        <v>17</v>
      </c>
      <c r="D144" t="s">
        <v>22</v>
      </c>
      <c r="E144" t="s">
        <v>23</v>
      </c>
      <c r="F144" t="s">
        <v>28</v>
      </c>
      <c r="G144" t="s">
        <v>15</v>
      </c>
      <c r="H144">
        <v>139.38999999999999</v>
      </c>
      <c r="I144">
        <v>20</v>
      </c>
      <c r="J144">
        <v>2787.8</v>
      </c>
      <c r="K144" t="str">
        <f t="shared" si="10"/>
        <v>Jan</v>
      </c>
      <c r="L144" t="str">
        <f t="shared" si="11"/>
        <v>High</v>
      </c>
      <c r="M144" t="str">
        <f t="shared" si="12"/>
        <v>Good</v>
      </c>
      <c r="N144">
        <f t="shared" si="14"/>
        <v>1933.9</v>
      </c>
      <c r="O144" s="6">
        <v>0.1</v>
      </c>
      <c r="P144">
        <f t="shared" si="13"/>
        <v>2509.0200000000004</v>
      </c>
    </row>
    <row r="145" spans="1:16" x14ac:dyDescent="0.25">
      <c r="A145" t="s">
        <v>181</v>
      </c>
      <c r="B145" s="1">
        <v>45793</v>
      </c>
      <c r="C145" t="s">
        <v>30</v>
      </c>
      <c r="D145" t="s">
        <v>26</v>
      </c>
      <c r="E145" t="s">
        <v>23</v>
      </c>
      <c r="F145" t="s">
        <v>42</v>
      </c>
      <c r="G145" t="s">
        <v>15</v>
      </c>
      <c r="H145">
        <v>96.19</v>
      </c>
      <c r="I145">
        <v>3</v>
      </c>
      <c r="J145">
        <v>288.57</v>
      </c>
      <c r="K145" t="str">
        <f t="shared" si="10"/>
        <v>May</v>
      </c>
      <c r="L145" t="str">
        <f t="shared" si="11"/>
        <v>Low</v>
      </c>
      <c r="M145" t="str">
        <f t="shared" si="12"/>
        <v>Low</v>
      </c>
      <c r="N145">
        <f t="shared" si="14"/>
        <v>-2499.23</v>
      </c>
      <c r="O145" s="6">
        <v>0.1</v>
      </c>
      <c r="P145">
        <f t="shared" si="13"/>
        <v>259.71300000000002</v>
      </c>
    </row>
    <row r="146" spans="1:16" x14ac:dyDescent="0.25">
      <c r="A146" t="s">
        <v>182</v>
      </c>
      <c r="B146" s="1">
        <v>45738</v>
      </c>
      <c r="C146" t="s">
        <v>38</v>
      </c>
      <c r="D146" t="s">
        <v>31</v>
      </c>
      <c r="E146" t="s">
        <v>27</v>
      </c>
      <c r="F146" t="s">
        <v>42</v>
      </c>
      <c r="G146" t="s">
        <v>36</v>
      </c>
      <c r="H146">
        <v>92.66</v>
      </c>
      <c r="I146">
        <v>1</v>
      </c>
      <c r="J146">
        <v>92.66</v>
      </c>
      <c r="K146" t="str">
        <f t="shared" si="10"/>
        <v>Mar</v>
      </c>
      <c r="L146" t="str">
        <f t="shared" si="11"/>
        <v>Low</v>
      </c>
      <c r="M146" t="str">
        <f t="shared" si="12"/>
        <v>Low</v>
      </c>
      <c r="N146">
        <f t="shared" si="14"/>
        <v>-195.91</v>
      </c>
      <c r="O146" s="6">
        <v>0.1</v>
      </c>
      <c r="P146">
        <f t="shared" si="13"/>
        <v>83.394000000000005</v>
      </c>
    </row>
    <row r="147" spans="1:16" x14ac:dyDescent="0.25">
      <c r="A147" t="s">
        <v>183</v>
      </c>
      <c r="B147" s="1">
        <v>45807</v>
      </c>
      <c r="C147" t="s">
        <v>30</v>
      </c>
      <c r="D147" t="s">
        <v>35</v>
      </c>
      <c r="E147" t="s">
        <v>27</v>
      </c>
      <c r="F147" t="s">
        <v>32</v>
      </c>
      <c r="G147" t="s">
        <v>20</v>
      </c>
      <c r="H147">
        <v>38.119999999999997</v>
      </c>
      <c r="I147">
        <v>2</v>
      </c>
      <c r="J147">
        <v>76.239999999999995</v>
      </c>
      <c r="K147" t="str">
        <f t="shared" si="10"/>
        <v>May</v>
      </c>
      <c r="L147" t="str">
        <f t="shared" si="11"/>
        <v>Low</v>
      </c>
      <c r="M147" t="str">
        <f t="shared" si="12"/>
        <v>Low</v>
      </c>
      <c r="N147">
        <f t="shared" si="14"/>
        <v>-16.420000000000002</v>
      </c>
      <c r="O147" s="6">
        <v>0.1</v>
      </c>
      <c r="P147">
        <f t="shared" si="13"/>
        <v>68.616</v>
      </c>
    </row>
    <row r="148" spans="1:16" x14ac:dyDescent="0.25">
      <c r="A148" t="s">
        <v>184</v>
      </c>
      <c r="B148" s="1">
        <v>45890</v>
      </c>
      <c r="C148" t="s">
        <v>17</v>
      </c>
      <c r="D148" t="s">
        <v>26</v>
      </c>
      <c r="E148" t="s">
        <v>13</v>
      </c>
      <c r="F148" t="s">
        <v>39</v>
      </c>
      <c r="G148" t="s">
        <v>20</v>
      </c>
      <c r="H148">
        <v>164.1</v>
      </c>
      <c r="I148">
        <v>3</v>
      </c>
      <c r="J148">
        <v>492.3</v>
      </c>
      <c r="K148" t="str">
        <f t="shared" si="10"/>
        <v>Aug</v>
      </c>
      <c r="L148" t="str">
        <f t="shared" si="11"/>
        <v>Low</v>
      </c>
      <c r="M148" t="str">
        <f t="shared" si="12"/>
        <v>Low</v>
      </c>
      <c r="N148">
        <f t="shared" si="14"/>
        <v>416.06</v>
      </c>
      <c r="O148" s="6">
        <v>0.1</v>
      </c>
      <c r="P148">
        <f t="shared" si="13"/>
        <v>443.07</v>
      </c>
    </row>
    <row r="149" spans="1:16" x14ac:dyDescent="0.25">
      <c r="A149" t="s">
        <v>185</v>
      </c>
      <c r="B149" s="1">
        <v>45959</v>
      </c>
      <c r="C149" t="s">
        <v>38</v>
      </c>
      <c r="D149" t="s">
        <v>22</v>
      </c>
      <c r="E149" t="s">
        <v>18</v>
      </c>
      <c r="F149" t="s">
        <v>14</v>
      </c>
      <c r="G149" t="s">
        <v>20</v>
      </c>
      <c r="H149">
        <v>140.59</v>
      </c>
      <c r="I149">
        <v>7</v>
      </c>
      <c r="J149">
        <v>984.13</v>
      </c>
      <c r="K149" t="str">
        <f t="shared" si="10"/>
        <v>Oct</v>
      </c>
      <c r="L149" t="str">
        <f t="shared" si="11"/>
        <v>Low</v>
      </c>
      <c r="M149" t="str">
        <f t="shared" si="12"/>
        <v>Average</v>
      </c>
      <c r="N149">
        <f t="shared" si="14"/>
        <v>491.83</v>
      </c>
      <c r="O149" s="6">
        <v>0.1</v>
      </c>
      <c r="P149">
        <f t="shared" si="13"/>
        <v>885.71699999999998</v>
      </c>
    </row>
    <row r="150" spans="1:16" x14ac:dyDescent="0.25">
      <c r="A150" t="s">
        <v>186</v>
      </c>
      <c r="B150" s="1">
        <v>45734</v>
      </c>
      <c r="C150" t="s">
        <v>30</v>
      </c>
      <c r="D150" t="s">
        <v>22</v>
      </c>
      <c r="E150" t="s">
        <v>45</v>
      </c>
      <c r="F150" t="s">
        <v>14</v>
      </c>
      <c r="G150" t="s">
        <v>36</v>
      </c>
      <c r="H150">
        <v>41.33</v>
      </c>
      <c r="I150">
        <v>9</v>
      </c>
      <c r="J150">
        <v>371.97</v>
      </c>
      <c r="K150" t="str">
        <f t="shared" si="10"/>
        <v>Mar</v>
      </c>
      <c r="L150" t="str">
        <f t="shared" si="11"/>
        <v>Low</v>
      </c>
      <c r="M150" t="str">
        <f t="shared" si="12"/>
        <v>Low</v>
      </c>
      <c r="N150">
        <f t="shared" si="14"/>
        <v>-612.16</v>
      </c>
      <c r="O150" s="6">
        <v>0.1</v>
      </c>
      <c r="P150">
        <f t="shared" si="13"/>
        <v>334.77300000000002</v>
      </c>
    </row>
    <row r="151" spans="1:16" x14ac:dyDescent="0.25">
      <c r="A151" t="s">
        <v>187</v>
      </c>
      <c r="B151" s="1">
        <v>45962</v>
      </c>
      <c r="C151" t="s">
        <v>34</v>
      </c>
      <c r="D151" t="s">
        <v>31</v>
      </c>
      <c r="E151" t="s">
        <v>45</v>
      </c>
      <c r="F151" t="s">
        <v>61</v>
      </c>
      <c r="G151" t="s">
        <v>20</v>
      </c>
      <c r="H151">
        <v>91.3</v>
      </c>
      <c r="I151">
        <v>19</v>
      </c>
      <c r="J151">
        <v>1734.7</v>
      </c>
      <c r="K151" t="str">
        <f t="shared" si="10"/>
        <v>Nov</v>
      </c>
      <c r="L151" t="str">
        <f t="shared" si="11"/>
        <v>Low</v>
      </c>
      <c r="M151" t="str">
        <f t="shared" si="12"/>
        <v>Good</v>
      </c>
      <c r="N151">
        <f t="shared" si="14"/>
        <v>1362.73</v>
      </c>
      <c r="O151" s="6">
        <v>0.1</v>
      </c>
      <c r="P151">
        <f t="shared" si="13"/>
        <v>1561.23</v>
      </c>
    </row>
    <row r="152" spans="1:16" x14ac:dyDescent="0.25">
      <c r="A152" t="s">
        <v>188</v>
      </c>
      <c r="B152" s="1">
        <v>45813</v>
      </c>
      <c r="C152" t="s">
        <v>34</v>
      </c>
      <c r="D152" t="s">
        <v>55</v>
      </c>
      <c r="E152" t="s">
        <v>18</v>
      </c>
      <c r="F152" t="s">
        <v>61</v>
      </c>
      <c r="G152" t="s">
        <v>36</v>
      </c>
      <c r="H152">
        <v>229.82</v>
      </c>
      <c r="I152">
        <v>13</v>
      </c>
      <c r="J152">
        <v>2987.66</v>
      </c>
      <c r="K152" t="str">
        <f t="shared" si="10"/>
        <v>Jun</v>
      </c>
      <c r="L152" t="str">
        <f t="shared" si="11"/>
        <v>High</v>
      </c>
      <c r="M152" t="str">
        <f t="shared" si="12"/>
        <v>Good</v>
      </c>
      <c r="N152">
        <f t="shared" si="14"/>
        <v>1252.9599999999998</v>
      </c>
      <c r="O152" s="6">
        <v>0.1</v>
      </c>
      <c r="P152">
        <f t="shared" si="13"/>
        <v>2688.8939999999998</v>
      </c>
    </row>
    <row r="153" spans="1:16" x14ac:dyDescent="0.25">
      <c r="A153" t="s">
        <v>189</v>
      </c>
      <c r="B153" s="1">
        <v>45699</v>
      </c>
      <c r="C153" t="s">
        <v>11</v>
      </c>
      <c r="D153" t="s">
        <v>31</v>
      </c>
      <c r="E153" t="s">
        <v>27</v>
      </c>
      <c r="F153" t="s">
        <v>32</v>
      </c>
      <c r="G153" t="s">
        <v>20</v>
      </c>
      <c r="H153">
        <v>82.7</v>
      </c>
      <c r="I153">
        <v>20</v>
      </c>
      <c r="J153">
        <v>1654</v>
      </c>
      <c r="K153" t="str">
        <f t="shared" si="10"/>
        <v>Feb</v>
      </c>
      <c r="L153" t="str">
        <f t="shared" si="11"/>
        <v>Low</v>
      </c>
      <c r="M153" t="str">
        <f t="shared" si="12"/>
        <v>Good</v>
      </c>
      <c r="N153">
        <f t="shared" si="14"/>
        <v>-1333.6599999999999</v>
      </c>
      <c r="O153" s="6">
        <v>0.1</v>
      </c>
      <c r="P153">
        <f t="shared" si="13"/>
        <v>1488.6000000000001</v>
      </c>
    </row>
    <row r="154" spans="1:16" x14ac:dyDescent="0.25">
      <c r="A154" t="s">
        <v>190</v>
      </c>
      <c r="B154" s="1">
        <v>45786</v>
      </c>
      <c r="C154" t="s">
        <v>11</v>
      </c>
      <c r="D154" t="s">
        <v>26</v>
      </c>
      <c r="E154" t="s">
        <v>27</v>
      </c>
      <c r="F154" t="s">
        <v>39</v>
      </c>
      <c r="G154" t="s">
        <v>20</v>
      </c>
      <c r="H154">
        <v>61.88</v>
      </c>
      <c r="I154">
        <v>1</v>
      </c>
      <c r="J154">
        <v>61.88</v>
      </c>
      <c r="K154" t="str">
        <f t="shared" si="10"/>
        <v>May</v>
      </c>
      <c r="L154" t="str">
        <f t="shared" si="11"/>
        <v>Low</v>
      </c>
      <c r="M154" t="str">
        <f t="shared" si="12"/>
        <v>Low</v>
      </c>
      <c r="N154">
        <f t="shared" si="14"/>
        <v>-1592.12</v>
      </c>
      <c r="O154" s="6">
        <v>0.1</v>
      </c>
      <c r="P154">
        <f t="shared" si="13"/>
        <v>55.692</v>
      </c>
    </row>
    <row r="155" spans="1:16" x14ac:dyDescent="0.25">
      <c r="A155" t="s">
        <v>191</v>
      </c>
      <c r="B155" s="1">
        <v>45958</v>
      </c>
      <c r="C155" t="s">
        <v>17</v>
      </c>
      <c r="D155" t="s">
        <v>35</v>
      </c>
      <c r="E155" t="s">
        <v>18</v>
      </c>
      <c r="F155" t="s">
        <v>19</v>
      </c>
      <c r="G155" t="s">
        <v>15</v>
      </c>
      <c r="H155">
        <v>137.68</v>
      </c>
      <c r="I155">
        <v>1</v>
      </c>
      <c r="J155">
        <v>137.68</v>
      </c>
      <c r="K155" t="str">
        <f t="shared" si="10"/>
        <v>Oct</v>
      </c>
      <c r="L155" t="str">
        <f t="shared" si="11"/>
        <v>Low</v>
      </c>
      <c r="M155" t="str">
        <f t="shared" si="12"/>
        <v>Low</v>
      </c>
      <c r="N155">
        <f t="shared" si="14"/>
        <v>75.800000000000011</v>
      </c>
      <c r="O155" s="6">
        <v>0.1</v>
      </c>
      <c r="P155">
        <f t="shared" si="13"/>
        <v>123.91200000000001</v>
      </c>
    </row>
    <row r="156" spans="1:16" x14ac:dyDescent="0.25">
      <c r="A156" t="s">
        <v>192</v>
      </c>
      <c r="B156" s="1">
        <v>45898</v>
      </c>
      <c r="C156" t="s">
        <v>17</v>
      </c>
      <c r="D156" t="s">
        <v>31</v>
      </c>
      <c r="E156" t="s">
        <v>13</v>
      </c>
      <c r="F156" t="s">
        <v>14</v>
      </c>
      <c r="G156" t="s">
        <v>20</v>
      </c>
      <c r="H156">
        <v>246.84</v>
      </c>
      <c r="I156">
        <v>17</v>
      </c>
      <c r="J156">
        <v>4196.28</v>
      </c>
      <c r="K156" t="str">
        <f t="shared" si="10"/>
        <v>Aug</v>
      </c>
      <c r="L156" t="str">
        <f t="shared" si="11"/>
        <v>High</v>
      </c>
      <c r="M156" t="str">
        <f t="shared" si="12"/>
        <v>Excellent</v>
      </c>
      <c r="N156">
        <f t="shared" si="14"/>
        <v>4058.6</v>
      </c>
      <c r="O156" s="6">
        <v>0.1</v>
      </c>
      <c r="P156">
        <f t="shared" si="13"/>
        <v>3776.652</v>
      </c>
    </row>
    <row r="157" spans="1:16" x14ac:dyDescent="0.25">
      <c r="A157" t="s">
        <v>193</v>
      </c>
      <c r="B157" s="1">
        <v>45881</v>
      </c>
      <c r="C157" t="s">
        <v>11</v>
      </c>
      <c r="D157" t="s">
        <v>31</v>
      </c>
      <c r="E157" t="s">
        <v>13</v>
      </c>
      <c r="F157" t="s">
        <v>61</v>
      </c>
      <c r="G157" t="s">
        <v>36</v>
      </c>
      <c r="H157">
        <v>83.25</v>
      </c>
      <c r="I157">
        <v>16</v>
      </c>
      <c r="J157">
        <v>1332</v>
      </c>
      <c r="K157" t="str">
        <f t="shared" si="10"/>
        <v>Aug</v>
      </c>
      <c r="L157" t="str">
        <f t="shared" si="11"/>
        <v>Low</v>
      </c>
      <c r="M157" t="str">
        <f t="shared" si="12"/>
        <v>Average</v>
      </c>
      <c r="N157">
        <f t="shared" si="14"/>
        <v>-2864.2799999999997</v>
      </c>
      <c r="O157" s="6">
        <v>0.1</v>
      </c>
      <c r="P157">
        <f t="shared" si="13"/>
        <v>1198.8</v>
      </c>
    </row>
    <row r="158" spans="1:16" x14ac:dyDescent="0.25">
      <c r="A158" t="s">
        <v>194</v>
      </c>
      <c r="B158" s="1">
        <v>45822</v>
      </c>
      <c r="C158" t="s">
        <v>30</v>
      </c>
      <c r="D158" t="s">
        <v>35</v>
      </c>
      <c r="E158" t="s">
        <v>41</v>
      </c>
      <c r="F158" t="s">
        <v>28</v>
      </c>
      <c r="G158" t="s">
        <v>36</v>
      </c>
      <c r="H158">
        <v>177.87</v>
      </c>
      <c r="I158">
        <v>4</v>
      </c>
      <c r="J158">
        <v>711.48</v>
      </c>
      <c r="K158" t="str">
        <f t="shared" si="10"/>
        <v>Jun</v>
      </c>
      <c r="L158" t="str">
        <f t="shared" si="11"/>
        <v>Low</v>
      </c>
      <c r="M158" t="str">
        <f t="shared" si="12"/>
        <v>Average</v>
      </c>
      <c r="N158">
        <f t="shared" si="14"/>
        <v>-620.52</v>
      </c>
      <c r="O158" s="6">
        <v>0.1</v>
      </c>
      <c r="P158">
        <f t="shared" si="13"/>
        <v>640.33199999999999</v>
      </c>
    </row>
    <row r="159" spans="1:16" x14ac:dyDescent="0.25">
      <c r="A159" t="s">
        <v>195</v>
      </c>
      <c r="B159" s="1">
        <v>45805</v>
      </c>
      <c r="C159" t="s">
        <v>25</v>
      </c>
      <c r="D159" t="s">
        <v>22</v>
      </c>
      <c r="E159" t="s">
        <v>41</v>
      </c>
      <c r="F159" t="s">
        <v>19</v>
      </c>
      <c r="G159" t="s">
        <v>36</v>
      </c>
      <c r="H159">
        <v>197.56</v>
      </c>
      <c r="I159">
        <v>13</v>
      </c>
      <c r="J159">
        <v>2568.2800000000002</v>
      </c>
      <c r="K159" t="str">
        <f t="shared" si="10"/>
        <v>May</v>
      </c>
      <c r="L159" t="str">
        <f t="shared" si="11"/>
        <v>High</v>
      </c>
      <c r="M159" t="str">
        <f t="shared" si="12"/>
        <v>Good</v>
      </c>
      <c r="N159">
        <f t="shared" si="14"/>
        <v>1856.8000000000002</v>
      </c>
      <c r="O159" s="6">
        <v>0.1</v>
      </c>
      <c r="P159">
        <f t="shared" si="13"/>
        <v>2311.4520000000002</v>
      </c>
    </row>
    <row r="160" spans="1:16" x14ac:dyDescent="0.25">
      <c r="A160" t="s">
        <v>196</v>
      </c>
      <c r="B160" s="1">
        <v>45787</v>
      </c>
      <c r="C160" t="s">
        <v>11</v>
      </c>
      <c r="D160" t="s">
        <v>31</v>
      </c>
      <c r="E160" t="s">
        <v>18</v>
      </c>
      <c r="F160" t="s">
        <v>39</v>
      </c>
      <c r="G160" t="s">
        <v>15</v>
      </c>
      <c r="H160">
        <v>82.28</v>
      </c>
      <c r="I160">
        <v>11</v>
      </c>
      <c r="J160">
        <v>905.08</v>
      </c>
      <c r="K160" t="str">
        <f t="shared" si="10"/>
        <v>May</v>
      </c>
      <c r="L160" t="str">
        <f t="shared" si="11"/>
        <v>Low</v>
      </c>
      <c r="M160" t="str">
        <f t="shared" si="12"/>
        <v>Average</v>
      </c>
      <c r="N160">
        <f t="shared" si="14"/>
        <v>-1663.2000000000003</v>
      </c>
      <c r="O160" s="6">
        <v>0.1</v>
      </c>
      <c r="P160">
        <f t="shared" si="13"/>
        <v>814.572</v>
      </c>
    </row>
    <row r="161" spans="1:16" x14ac:dyDescent="0.25">
      <c r="A161" t="s">
        <v>197</v>
      </c>
      <c r="B161" s="1">
        <v>45994</v>
      </c>
      <c r="C161" t="s">
        <v>38</v>
      </c>
      <c r="D161" t="s">
        <v>31</v>
      </c>
      <c r="E161" t="s">
        <v>45</v>
      </c>
      <c r="F161" t="s">
        <v>14</v>
      </c>
      <c r="G161" t="s">
        <v>20</v>
      </c>
      <c r="H161">
        <v>190.21</v>
      </c>
      <c r="I161">
        <v>18</v>
      </c>
      <c r="J161">
        <v>3423.78</v>
      </c>
      <c r="K161" t="str">
        <f t="shared" si="10"/>
        <v>Dec</v>
      </c>
      <c r="L161" t="str">
        <f t="shared" si="11"/>
        <v>High</v>
      </c>
      <c r="M161" t="str">
        <f t="shared" si="12"/>
        <v>Excellent</v>
      </c>
      <c r="N161">
        <f t="shared" si="14"/>
        <v>2518.7000000000003</v>
      </c>
      <c r="O161" s="6">
        <v>0.1</v>
      </c>
      <c r="P161">
        <f t="shared" si="13"/>
        <v>3081.402</v>
      </c>
    </row>
    <row r="162" spans="1:16" x14ac:dyDescent="0.25">
      <c r="A162" t="s">
        <v>198</v>
      </c>
      <c r="B162" s="1">
        <v>45843</v>
      </c>
      <c r="C162" t="s">
        <v>38</v>
      </c>
      <c r="D162" t="s">
        <v>12</v>
      </c>
      <c r="E162" t="s">
        <v>41</v>
      </c>
      <c r="F162" t="s">
        <v>39</v>
      </c>
      <c r="G162" t="s">
        <v>15</v>
      </c>
      <c r="H162">
        <v>110.91</v>
      </c>
      <c r="I162">
        <v>20</v>
      </c>
      <c r="J162">
        <v>2218.1999999999998</v>
      </c>
      <c r="K162" t="str">
        <f t="shared" si="10"/>
        <v>Jul</v>
      </c>
      <c r="L162" t="str">
        <f t="shared" si="11"/>
        <v>High</v>
      </c>
      <c r="M162" t="str">
        <f t="shared" si="12"/>
        <v>Good</v>
      </c>
      <c r="N162">
        <f t="shared" si="14"/>
        <v>-1205.5800000000004</v>
      </c>
      <c r="O162" s="6">
        <v>0.1</v>
      </c>
      <c r="P162">
        <f t="shared" si="13"/>
        <v>1996.3799999999999</v>
      </c>
    </row>
    <row r="163" spans="1:16" x14ac:dyDescent="0.25">
      <c r="A163" t="s">
        <v>199</v>
      </c>
      <c r="B163" s="1">
        <v>45762</v>
      </c>
      <c r="C163" t="s">
        <v>25</v>
      </c>
      <c r="D163" t="s">
        <v>26</v>
      </c>
      <c r="E163" t="s">
        <v>13</v>
      </c>
      <c r="F163" t="s">
        <v>61</v>
      </c>
      <c r="G163" t="s">
        <v>20</v>
      </c>
      <c r="H163">
        <v>169.11</v>
      </c>
      <c r="I163">
        <v>9</v>
      </c>
      <c r="J163">
        <v>1521.99</v>
      </c>
      <c r="K163" t="str">
        <f t="shared" si="10"/>
        <v>Apr</v>
      </c>
      <c r="L163" t="str">
        <f t="shared" si="11"/>
        <v>Low</v>
      </c>
      <c r="M163" t="str">
        <f t="shared" si="12"/>
        <v>Good</v>
      </c>
      <c r="N163">
        <f t="shared" si="14"/>
        <v>-696.20999999999981</v>
      </c>
      <c r="O163" s="6">
        <v>0.1</v>
      </c>
      <c r="P163">
        <f t="shared" si="13"/>
        <v>1369.7909999999999</v>
      </c>
    </row>
    <row r="164" spans="1:16" x14ac:dyDescent="0.25">
      <c r="A164" t="s">
        <v>200</v>
      </c>
      <c r="B164" s="1">
        <v>45906</v>
      </c>
      <c r="C164" t="s">
        <v>11</v>
      </c>
      <c r="D164" t="s">
        <v>12</v>
      </c>
      <c r="E164" t="s">
        <v>18</v>
      </c>
      <c r="F164" t="s">
        <v>39</v>
      </c>
      <c r="G164" t="s">
        <v>15</v>
      </c>
      <c r="H164">
        <v>169.38</v>
      </c>
      <c r="I164">
        <v>4</v>
      </c>
      <c r="J164">
        <v>677.52</v>
      </c>
      <c r="K164" t="str">
        <f t="shared" si="10"/>
        <v>Sep</v>
      </c>
      <c r="L164" t="str">
        <f t="shared" si="11"/>
        <v>Low</v>
      </c>
      <c r="M164" t="str">
        <f t="shared" si="12"/>
        <v>Average</v>
      </c>
      <c r="N164">
        <f t="shared" si="14"/>
        <v>-844.47</v>
      </c>
      <c r="O164" s="6">
        <v>0.1</v>
      </c>
      <c r="P164">
        <f t="shared" si="13"/>
        <v>609.76800000000003</v>
      </c>
    </row>
    <row r="165" spans="1:16" x14ac:dyDescent="0.25">
      <c r="A165" t="s">
        <v>201</v>
      </c>
      <c r="B165" s="1">
        <v>46021</v>
      </c>
      <c r="C165" t="s">
        <v>34</v>
      </c>
      <c r="D165" t="s">
        <v>55</v>
      </c>
      <c r="E165" t="s">
        <v>45</v>
      </c>
      <c r="F165" t="s">
        <v>42</v>
      </c>
      <c r="G165" t="s">
        <v>36</v>
      </c>
      <c r="H165">
        <v>147.87</v>
      </c>
      <c r="I165">
        <v>6</v>
      </c>
      <c r="J165">
        <v>887.22</v>
      </c>
      <c r="K165" t="str">
        <f t="shared" si="10"/>
        <v>Dec</v>
      </c>
      <c r="L165" t="str">
        <f t="shared" si="11"/>
        <v>Low</v>
      </c>
      <c r="M165" t="str">
        <f t="shared" si="12"/>
        <v>Average</v>
      </c>
      <c r="N165">
        <f t="shared" si="14"/>
        <v>209.70000000000005</v>
      </c>
      <c r="O165" s="6">
        <v>0.1</v>
      </c>
      <c r="P165">
        <f t="shared" si="13"/>
        <v>798.49800000000005</v>
      </c>
    </row>
    <row r="166" spans="1:16" x14ac:dyDescent="0.25">
      <c r="A166" t="s">
        <v>202</v>
      </c>
      <c r="B166" s="1">
        <v>45705</v>
      </c>
      <c r="C166" t="s">
        <v>11</v>
      </c>
      <c r="D166" t="s">
        <v>31</v>
      </c>
      <c r="E166" t="s">
        <v>45</v>
      </c>
      <c r="F166" t="s">
        <v>28</v>
      </c>
      <c r="G166" t="s">
        <v>15</v>
      </c>
      <c r="H166">
        <v>49.86</v>
      </c>
      <c r="I166">
        <v>8</v>
      </c>
      <c r="J166">
        <v>398.88</v>
      </c>
      <c r="K166" t="str">
        <f t="shared" si="10"/>
        <v>Feb</v>
      </c>
      <c r="L166" t="str">
        <f t="shared" si="11"/>
        <v>Low</v>
      </c>
      <c r="M166" t="str">
        <f t="shared" si="12"/>
        <v>Low</v>
      </c>
      <c r="N166">
        <f t="shared" si="14"/>
        <v>-488.34000000000003</v>
      </c>
      <c r="O166" s="6">
        <v>0.1</v>
      </c>
      <c r="P166">
        <f t="shared" si="13"/>
        <v>358.99200000000002</v>
      </c>
    </row>
    <row r="167" spans="1:16" x14ac:dyDescent="0.25">
      <c r="A167" t="s">
        <v>203</v>
      </c>
      <c r="B167" s="1">
        <v>45913</v>
      </c>
      <c r="C167" t="s">
        <v>25</v>
      </c>
      <c r="D167" t="s">
        <v>12</v>
      </c>
      <c r="E167" t="s">
        <v>13</v>
      </c>
      <c r="F167" t="s">
        <v>61</v>
      </c>
      <c r="G167" t="s">
        <v>36</v>
      </c>
      <c r="H167">
        <v>213.77</v>
      </c>
      <c r="I167">
        <v>10</v>
      </c>
      <c r="J167">
        <v>2137.6999999999998</v>
      </c>
      <c r="K167" t="str">
        <f t="shared" si="10"/>
        <v>Sep</v>
      </c>
      <c r="L167" t="str">
        <f t="shared" si="11"/>
        <v>High</v>
      </c>
      <c r="M167" t="str">
        <f t="shared" si="12"/>
        <v>Good</v>
      </c>
      <c r="N167">
        <f t="shared" si="14"/>
        <v>1738.8199999999997</v>
      </c>
      <c r="O167" s="6">
        <v>0.1</v>
      </c>
      <c r="P167">
        <f t="shared" si="13"/>
        <v>1923.9299999999998</v>
      </c>
    </row>
    <row r="168" spans="1:16" x14ac:dyDescent="0.25">
      <c r="A168" t="s">
        <v>204</v>
      </c>
      <c r="B168" s="1">
        <v>45899</v>
      </c>
      <c r="C168" t="s">
        <v>38</v>
      </c>
      <c r="D168" t="s">
        <v>55</v>
      </c>
      <c r="E168" t="s">
        <v>23</v>
      </c>
      <c r="F168" t="s">
        <v>61</v>
      </c>
      <c r="G168" t="s">
        <v>15</v>
      </c>
      <c r="H168">
        <v>100.57</v>
      </c>
      <c r="I168">
        <v>8</v>
      </c>
      <c r="J168">
        <v>804.56</v>
      </c>
      <c r="K168" t="str">
        <f t="shared" si="10"/>
        <v>Aug</v>
      </c>
      <c r="L168" t="str">
        <f t="shared" si="11"/>
        <v>Low</v>
      </c>
      <c r="M168" t="str">
        <f t="shared" si="12"/>
        <v>Average</v>
      </c>
      <c r="N168">
        <f t="shared" si="14"/>
        <v>-1333.1399999999999</v>
      </c>
      <c r="O168" s="6">
        <v>0.1</v>
      </c>
      <c r="P168">
        <f t="shared" si="13"/>
        <v>724.10399999999993</v>
      </c>
    </row>
    <row r="169" spans="1:16" x14ac:dyDescent="0.25">
      <c r="A169" t="s">
        <v>205</v>
      </c>
      <c r="B169" s="1">
        <v>45964</v>
      </c>
      <c r="C169" t="s">
        <v>17</v>
      </c>
      <c r="D169" t="s">
        <v>26</v>
      </c>
      <c r="E169" t="s">
        <v>45</v>
      </c>
      <c r="F169" t="s">
        <v>32</v>
      </c>
      <c r="G169" t="s">
        <v>36</v>
      </c>
      <c r="H169">
        <v>71.03</v>
      </c>
      <c r="I169">
        <v>17</v>
      </c>
      <c r="J169">
        <v>1207.51</v>
      </c>
      <c r="K169" t="str">
        <f t="shared" si="10"/>
        <v>Nov</v>
      </c>
      <c r="L169" t="str">
        <f t="shared" si="11"/>
        <v>Low</v>
      </c>
      <c r="M169" t="str">
        <f t="shared" si="12"/>
        <v>Average</v>
      </c>
      <c r="N169">
        <f t="shared" si="14"/>
        <v>402.95000000000005</v>
      </c>
      <c r="O169" s="6">
        <v>0.1</v>
      </c>
      <c r="P169">
        <f t="shared" si="13"/>
        <v>1086.759</v>
      </c>
    </row>
    <row r="170" spans="1:16" x14ac:dyDescent="0.25">
      <c r="A170" t="s">
        <v>206</v>
      </c>
      <c r="B170" s="1">
        <v>45832</v>
      </c>
      <c r="C170" t="s">
        <v>34</v>
      </c>
      <c r="D170" t="s">
        <v>22</v>
      </c>
      <c r="E170" t="s">
        <v>13</v>
      </c>
      <c r="F170" t="s">
        <v>28</v>
      </c>
      <c r="G170" t="s">
        <v>36</v>
      </c>
      <c r="H170">
        <v>38.97</v>
      </c>
      <c r="I170">
        <v>17</v>
      </c>
      <c r="J170">
        <v>662.49</v>
      </c>
      <c r="K170" t="str">
        <f t="shared" si="10"/>
        <v>Jun</v>
      </c>
      <c r="L170" t="str">
        <f t="shared" si="11"/>
        <v>Low</v>
      </c>
      <c r="M170" t="str">
        <f t="shared" si="12"/>
        <v>Average</v>
      </c>
      <c r="N170">
        <f t="shared" si="14"/>
        <v>-545.02</v>
      </c>
      <c r="O170" s="6">
        <v>0.1</v>
      </c>
      <c r="P170">
        <f t="shared" si="13"/>
        <v>596.24099999999999</v>
      </c>
    </row>
    <row r="171" spans="1:16" x14ac:dyDescent="0.25">
      <c r="A171" t="s">
        <v>207</v>
      </c>
      <c r="B171" s="1">
        <v>45958</v>
      </c>
      <c r="C171" t="s">
        <v>17</v>
      </c>
      <c r="D171" t="s">
        <v>31</v>
      </c>
      <c r="E171" t="s">
        <v>23</v>
      </c>
      <c r="F171" t="s">
        <v>61</v>
      </c>
      <c r="G171" t="s">
        <v>20</v>
      </c>
      <c r="H171">
        <v>160</v>
      </c>
      <c r="I171">
        <v>19</v>
      </c>
      <c r="J171">
        <v>3040</v>
      </c>
      <c r="K171" t="str">
        <f t="shared" si="10"/>
        <v>Oct</v>
      </c>
      <c r="L171" t="str">
        <f t="shared" si="11"/>
        <v>High</v>
      </c>
      <c r="M171" t="str">
        <f t="shared" si="12"/>
        <v>Excellent</v>
      </c>
      <c r="N171">
        <f t="shared" si="14"/>
        <v>2377.5100000000002</v>
      </c>
      <c r="O171" s="6">
        <v>0.1</v>
      </c>
      <c r="P171">
        <f t="shared" si="13"/>
        <v>2736</v>
      </c>
    </row>
    <row r="172" spans="1:16" x14ac:dyDescent="0.25">
      <c r="A172" t="s">
        <v>208</v>
      </c>
      <c r="B172" s="1">
        <v>45905</v>
      </c>
      <c r="C172" t="s">
        <v>34</v>
      </c>
      <c r="D172" t="s">
        <v>55</v>
      </c>
      <c r="E172" t="s">
        <v>18</v>
      </c>
      <c r="F172" t="s">
        <v>61</v>
      </c>
      <c r="G172" t="s">
        <v>36</v>
      </c>
      <c r="H172">
        <v>179.06</v>
      </c>
      <c r="I172">
        <v>12</v>
      </c>
      <c r="J172">
        <v>2148.7199999999998</v>
      </c>
      <c r="K172" t="str">
        <f t="shared" si="10"/>
        <v>Sep</v>
      </c>
      <c r="L172" t="str">
        <f t="shared" si="11"/>
        <v>High</v>
      </c>
      <c r="M172" t="str">
        <f t="shared" si="12"/>
        <v>Good</v>
      </c>
      <c r="N172">
        <f t="shared" si="14"/>
        <v>-891.2800000000002</v>
      </c>
      <c r="O172" s="6">
        <v>0.1</v>
      </c>
      <c r="P172">
        <f t="shared" si="13"/>
        <v>1933.848</v>
      </c>
    </row>
    <row r="173" spans="1:16" x14ac:dyDescent="0.25">
      <c r="A173" t="s">
        <v>209</v>
      </c>
      <c r="B173" s="1">
        <v>45822</v>
      </c>
      <c r="C173" t="s">
        <v>17</v>
      </c>
      <c r="D173" t="s">
        <v>26</v>
      </c>
      <c r="E173" t="s">
        <v>18</v>
      </c>
      <c r="F173" t="s">
        <v>61</v>
      </c>
      <c r="G173" t="s">
        <v>15</v>
      </c>
      <c r="H173">
        <v>33.65</v>
      </c>
      <c r="I173">
        <v>7</v>
      </c>
      <c r="J173">
        <v>235.55</v>
      </c>
      <c r="K173" t="str">
        <f t="shared" si="10"/>
        <v>Jun</v>
      </c>
      <c r="L173" t="str">
        <f t="shared" si="11"/>
        <v>Low</v>
      </c>
      <c r="M173" t="str">
        <f t="shared" si="12"/>
        <v>Low</v>
      </c>
      <c r="N173">
        <f t="shared" si="14"/>
        <v>-1913.1699999999998</v>
      </c>
      <c r="O173" s="6">
        <v>0.1</v>
      </c>
      <c r="P173">
        <f t="shared" si="13"/>
        <v>211.995</v>
      </c>
    </row>
    <row r="174" spans="1:16" x14ac:dyDescent="0.25">
      <c r="A174" t="s">
        <v>210</v>
      </c>
      <c r="B174" s="1">
        <v>45868</v>
      </c>
      <c r="C174" t="s">
        <v>34</v>
      </c>
      <c r="D174" t="s">
        <v>12</v>
      </c>
      <c r="E174" t="s">
        <v>41</v>
      </c>
      <c r="F174" t="s">
        <v>28</v>
      </c>
      <c r="G174" t="s">
        <v>36</v>
      </c>
      <c r="H174">
        <v>142.66</v>
      </c>
      <c r="I174">
        <v>2</v>
      </c>
      <c r="J174">
        <v>285.32</v>
      </c>
      <c r="K174" t="str">
        <f t="shared" si="10"/>
        <v>Jul</v>
      </c>
      <c r="L174" t="str">
        <f t="shared" si="11"/>
        <v>Low</v>
      </c>
      <c r="M174" t="str">
        <f t="shared" si="12"/>
        <v>Low</v>
      </c>
      <c r="N174">
        <f t="shared" si="14"/>
        <v>49.769999999999982</v>
      </c>
      <c r="O174" s="6">
        <v>0.1</v>
      </c>
      <c r="P174">
        <f t="shared" si="13"/>
        <v>256.78800000000001</v>
      </c>
    </row>
    <row r="175" spans="1:16" x14ac:dyDescent="0.25">
      <c r="A175" t="s">
        <v>211</v>
      </c>
      <c r="B175" s="1">
        <v>45855</v>
      </c>
      <c r="C175" t="s">
        <v>38</v>
      </c>
      <c r="D175" t="s">
        <v>22</v>
      </c>
      <c r="E175" t="s">
        <v>23</v>
      </c>
      <c r="F175" t="s">
        <v>42</v>
      </c>
      <c r="G175" t="s">
        <v>20</v>
      </c>
      <c r="H175">
        <v>79.83</v>
      </c>
      <c r="I175">
        <v>5</v>
      </c>
      <c r="J175">
        <v>399.15</v>
      </c>
      <c r="K175" t="str">
        <f t="shared" si="10"/>
        <v>Jul</v>
      </c>
      <c r="L175" t="str">
        <f t="shared" si="11"/>
        <v>Low</v>
      </c>
      <c r="M175" t="str">
        <f t="shared" si="12"/>
        <v>Low</v>
      </c>
      <c r="N175">
        <f t="shared" si="14"/>
        <v>113.82999999999998</v>
      </c>
      <c r="O175" s="6">
        <v>0.1</v>
      </c>
      <c r="P175">
        <f t="shared" si="13"/>
        <v>359.23500000000001</v>
      </c>
    </row>
    <row r="176" spans="1:16" x14ac:dyDescent="0.25">
      <c r="A176" t="s">
        <v>212</v>
      </c>
      <c r="B176" s="1">
        <v>45827</v>
      </c>
      <c r="C176" t="s">
        <v>38</v>
      </c>
      <c r="D176" t="s">
        <v>22</v>
      </c>
      <c r="E176" t="s">
        <v>18</v>
      </c>
      <c r="F176" t="s">
        <v>61</v>
      </c>
      <c r="G176" t="s">
        <v>15</v>
      </c>
      <c r="H176">
        <v>171.94</v>
      </c>
      <c r="I176">
        <v>4</v>
      </c>
      <c r="J176">
        <v>687.76</v>
      </c>
      <c r="K176" t="str">
        <f t="shared" si="10"/>
        <v>Jun</v>
      </c>
      <c r="L176" t="str">
        <f t="shared" si="11"/>
        <v>Low</v>
      </c>
      <c r="M176" t="str">
        <f t="shared" si="12"/>
        <v>Average</v>
      </c>
      <c r="N176">
        <f t="shared" si="14"/>
        <v>288.61</v>
      </c>
      <c r="O176" s="6">
        <v>0.1</v>
      </c>
      <c r="P176">
        <f t="shared" si="13"/>
        <v>618.98400000000004</v>
      </c>
    </row>
    <row r="177" spans="1:16" x14ac:dyDescent="0.25">
      <c r="A177" t="s">
        <v>213</v>
      </c>
      <c r="B177" s="1">
        <v>45731</v>
      </c>
      <c r="C177" t="s">
        <v>17</v>
      </c>
      <c r="D177" t="s">
        <v>26</v>
      </c>
      <c r="E177" t="s">
        <v>45</v>
      </c>
      <c r="F177" t="s">
        <v>61</v>
      </c>
      <c r="G177" t="s">
        <v>36</v>
      </c>
      <c r="H177">
        <v>68.36</v>
      </c>
      <c r="I177">
        <v>14</v>
      </c>
      <c r="J177">
        <v>957.04</v>
      </c>
      <c r="K177" t="str">
        <f t="shared" si="10"/>
        <v>Mar</v>
      </c>
      <c r="L177" t="str">
        <f t="shared" si="11"/>
        <v>Low</v>
      </c>
      <c r="M177" t="str">
        <f t="shared" si="12"/>
        <v>Average</v>
      </c>
      <c r="N177">
        <f t="shared" si="14"/>
        <v>269.27999999999997</v>
      </c>
      <c r="O177" s="6">
        <v>0.1</v>
      </c>
      <c r="P177">
        <f t="shared" si="13"/>
        <v>861.33600000000001</v>
      </c>
    </row>
    <row r="178" spans="1:16" x14ac:dyDescent="0.25">
      <c r="A178" t="s">
        <v>214</v>
      </c>
      <c r="B178" s="1">
        <v>45831</v>
      </c>
      <c r="C178" t="s">
        <v>17</v>
      </c>
      <c r="D178" t="s">
        <v>31</v>
      </c>
      <c r="E178" t="s">
        <v>27</v>
      </c>
      <c r="F178" t="s">
        <v>19</v>
      </c>
      <c r="G178" t="s">
        <v>36</v>
      </c>
      <c r="H178">
        <v>182.01</v>
      </c>
      <c r="I178">
        <v>20</v>
      </c>
      <c r="J178">
        <v>3640.2</v>
      </c>
      <c r="K178" t="str">
        <f t="shared" si="10"/>
        <v>Jun</v>
      </c>
      <c r="L178" t="str">
        <f t="shared" si="11"/>
        <v>High</v>
      </c>
      <c r="M178" t="str">
        <f t="shared" si="12"/>
        <v>Excellent</v>
      </c>
      <c r="N178">
        <f t="shared" si="14"/>
        <v>2683.16</v>
      </c>
      <c r="O178" s="6">
        <v>0.1</v>
      </c>
      <c r="P178">
        <f t="shared" si="13"/>
        <v>3276.18</v>
      </c>
    </row>
    <row r="179" spans="1:16" x14ac:dyDescent="0.25">
      <c r="A179" t="s">
        <v>215</v>
      </c>
      <c r="B179" s="1">
        <v>46003</v>
      </c>
      <c r="C179" t="s">
        <v>38</v>
      </c>
      <c r="D179" t="s">
        <v>35</v>
      </c>
      <c r="E179" t="s">
        <v>27</v>
      </c>
      <c r="F179" t="s">
        <v>28</v>
      </c>
      <c r="G179" t="s">
        <v>36</v>
      </c>
      <c r="H179">
        <v>115.08</v>
      </c>
      <c r="I179">
        <v>18</v>
      </c>
      <c r="J179">
        <v>2071.44</v>
      </c>
      <c r="K179" t="str">
        <f t="shared" si="10"/>
        <v>Dec</v>
      </c>
      <c r="L179" t="str">
        <f t="shared" si="11"/>
        <v>High</v>
      </c>
      <c r="M179" t="str">
        <f t="shared" si="12"/>
        <v>Good</v>
      </c>
      <c r="N179">
        <f t="shared" si="14"/>
        <v>-1568.7599999999998</v>
      </c>
      <c r="O179" s="6">
        <v>0.1</v>
      </c>
      <c r="P179">
        <f t="shared" si="13"/>
        <v>1864.296</v>
      </c>
    </row>
    <row r="180" spans="1:16" x14ac:dyDescent="0.25">
      <c r="A180" t="s">
        <v>216</v>
      </c>
      <c r="B180" s="1">
        <v>45935</v>
      </c>
      <c r="C180" t="s">
        <v>25</v>
      </c>
      <c r="D180" t="s">
        <v>22</v>
      </c>
      <c r="E180" t="s">
        <v>23</v>
      </c>
      <c r="F180" t="s">
        <v>28</v>
      </c>
      <c r="G180" t="s">
        <v>20</v>
      </c>
      <c r="H180">
        <v>236.08</v>
      </c>
      <c r="I180">
        <v>2</v>
      </c>
      <c r="J180">
        <v>472.16</v>
      </c>
      <c r="K180" t="str">
        <f t="shared" si="10"/>
        <v>Oct</v>
      </c>
      <c r="L180" t="str">
        <f t="shared" si="11"/>
        <v>Low</v>
      </c>
      <c r="M180" t="str">
        <f t="shared" si="12"/>
        <v>Low</v>
      </c>
      <c r="N180">
        <f t="shared" si="14"/>
        <v>-1599.28</v>
      </c>
      <c r="O180" s="6">
        <v>0.1</v>
      </c>
      <c r="P180">
        <f t="shared" si="13"/>
        <v>424.94400000000002</v>
      </c>
    </row>
    <row r="181" spans="1:16" x14ac:dyDescent="0.25">
      <c r="A181" t="s">
        <v>217</v>
      </c>
      <c r="B181" s="1">
        <v>45805</v>
      </c>
      <c r="C181" t="s">
        <v>17</v>
      </c>
      <c r="D181" t="s">
        <v>22</v>
      </c>
      <c r="E181" t="s">
        <v>41</v>
      </c>
      <c r="F181" t="s">
        <v>19</v>
      </c>
      <c r="G181" t="s">
        <v>20</v>
      </c>
      <c r="H181">
        <v>60.25</v>
      </c>
      <c r="I181">
        <v>8</v>
      </c>
      <c r="J181">
        <v>482</v>
      </c>
      <c r="K181" t="str">
        <f t="shared" si="10"/>
        <v>May</v>
      </c>
      <c r="L181" t="str">
        <f t="shared" si="11"/>
        <v>Low</v>
      </c>
      <c r="M181" t="str">
        <f t="shared" si="12"/>
        <v>Low</v>
      </c>
      <c r="N181">
        <f t="shared" si="14"/>
        <v>9.839999999999975</v>
      </c>
      <c r="O181" s="6">
        <v>0.1</v>
      </c>
      <c r="P181">
        <f t="shared" si="13"/>
        <v>433.8</v>
      </c>
    </row>
    <row r="182" spans="1:16" x14ac:dyDescent="0.25">
      <c r="A182" t="s">
        <v>218</v>
      </c>
      <c r="B182" s="1">
        <v>46018</v>
      </c>
      <c r="C182" t="s">
        <v>38</v>
      </c>
      <c r="D182" t="s">
        <v>26</v>
      </c>
      <c r="E182" t="s">
        <v>27</v>
      </c>
      <c r="F182" t="s">
        <v>32</v>
      </c>
      <c r="G182" t="s">
        <v>15</v>
      </c>
      <c r="H182">
        <v>105.03</v>
      </c>
      <c r="I182">
        <v>4</v>
      </c>
      <c r="J182">
        <v>420.12</v>
      </c>
      <c r="K182" t="str">
        <f t="shared" si="10"/>
        <v>Dec</v>
      </c>
      <c r="L182" t="str">
        <f t="shared" si="11"/>
        <v>Low</v>
      </c>
      <c r="M182" t="str">
        <f t="shared" si="12"/>
        <v>Low</v>
      </c>
      <c r="N182">
        <f t="shared" si="14"/>
        <v>-61.879999999999995</v>
      </c>
      <c r="O182" s="6">
        <v>0.1</v>
      </c>
      <c r="P182">
        <f t="shared" si="13"/>
        <v>378.108</v>
      </c>
    </row>
    <row r="183" spans="1:16" x14ac:dyDescent="0.25">
      <c r="A183" t="s">
        <v>219</v>
      </c>
      <c r="B183" s="1">
        <v>45681</v>
      </c>
      <c r="C183" t="s">
        <v>11</v>
      </c>
      <c r="D183" t="s">
        <v>35</v>
      </c>
      <c r="E183" t="s">
        <v>13</v>
      </c>
      <c r="F183" t="s">
        <v>32</v>
      </c>
      <c r="G183" t="s">
        <v>36</v>
      </c>
      <c r="H183">
        <v>54.96</v>
      </c>
      <c r="I183">
        <v>11</v>
      </c>
      <c r="J183">
        <v>604.55999999999995</v>
      </c>
      <c r="K183" t="str">
        <f t="shared" si="10"/>
        <v>Jan</v>
      </c>
      <c r="L183" t="str">
        <f t="shared" si="11"/>
        <v>Low</v>
      </c>
      <c r="M183" t="str">
        <f t="shared" si="12"/>
        <v>Average</v>
      </c>
      <c r="N183">
        <f t="shared" si="14"/>
        <v>184.43999999999994</v>
      </c>
      <c r="O183" s="6">
        <v>0.1</v>
      </c>
      <c r="P183">
        <f t="shared" si="13"/>
        <v>544.10399999999993</v>
      </c>
    </row>
    <row r="184" spans="1:16" x14ac:dyDescent="0.25">
      <c r="A184" t="s">
        <v>220</v>
      </c>
      <c r="B184" s="1">
        <v>45732</v>
      </c>
      <c r="C184" t="s">
        <v>25</v>
      </c>
      <c r="D184" t="s">
        <v>31</v>
      </c>
      <c r="E184" t="s">
        <v>18</v>
      </c>
      <c r="F184" t="s">
        <v>28</v>
      </c>
      <c r="G184" t="s">
        <v>15</v>
      </c>
      <c r="H184">
        <v>233.43</v>
      </c>
      <c r="I184">
        <v>8</v>
      </c>
      <c r="J184">
        <v>1867.44</v>
      </c>
      <c r="K184" t="str">
        <f t="shared" si="10"/>
        <v>Mar</v>
      </c>
      <c r="L184" t="str">
        <f t="shared" si="11"/>
        <v>Low</v>
      </c>
      <c r="M184" t="str">
        <f t="shared" si="12"/>
        <v>Good</v>
      </c>
      <c r="N184">
        <f t="shared" si="14"/>
        <v>1262.8800000000001</v>
      </c>
      <c r="O184" s="6">
        <v>0.1</v>
      </c>
      <c r="P184">
        <f t="shared" si="13"/>
        <v>1680.6960000000001</v>
      </c>
    </row>
    <row r="185" spans="1:16" x14ac:dyDescent="0.25">
      <c r="A185" t="s">
        <v>221</v>
      </c>
      <c r="B185" s="1">
        <v>45745</v>
      </c>
      <c r="C185" t="s">
        <v>11</v>
      </c>
      <c r="D185" t="s">
        <v>55</v>
      </c>
      <c r="E185" t="s">
        <v>41</v>
      </c>
      <c r="F185" t="s">
        <v>42</v>
      </c>
      <c r="G185" t="s">
        <v>20</v>
      </c>
      <c r="H185">
        <v>223.01</v>
      </c>
      <c r="I185">
        <v>6</v>
      </c>
      <c r="J185">
        <v>1338.06</v>
      </c>
      <c r="K185" t="str">
        <f t="shared" si="10"/>
        <v>Mar</v>
      </c>
      <c r="L185" t="str">
        <f t="shared" si="11"/>
        <v>Low</v>
      </c>
      <c r="M185" t="str">
        <f t="shared" si="12"/>
        <v>Average</v>
      </c>
      <c r="N185">
        <f t="shared" si="14"/>
        <v>-529.38000000000011</v>
      </c>
      <c r="O185" s="6">
        <v>0.1</v>
      </c>
      <c r="P185">
        <f t="shared" si="13"/>
        <v>1204.2539999999999</v>
      </c>
    </row>
    <row r="186" spans="1:16" x14ac:dyDescent="0.25">
      <c r="A186" t="s">
        <v>222</v>
      </c>
      <c r="B186" s="1">
        <v>45781</v>
      </c>
      <c r="C186" t="s">
        <v>25</v>
      </c>
      <c r="D186" t="s">
        <v>26</v>
      </c>
      <c r="E186" t="s">
        <v>23</v>
      </c>
      <c r="F186" t="s">
        <v>61</v>
      </c>
      <c r="G186" t="s">
        <v>20</v>
      </c>
      <c r="H186">
        <v>86.75</v>
      </c>
      <c r="I186">
        <v>16</v>
      </c>
      <c r="J186">
        <v>1388</v>
      </c>
      <c r="K186" t="str">
        <f t="shared" si="10"/>
        <v>May</v>
      </c>
      <c r="L186" t="str">
        <f t="shared" si="11"/>
        <v>Low</v>
      </c>
      <c r="M186" t="str">
        <f t="shared" si="12"/>
        <v>Average</v>
      </c>
      <c r="N186">
        <f t="shared" si="14"/>
        <v>49.940000000000055</v>
      </c>
      <c r="O186" s="6">
        <v>0.1</v>
      </c>
      <c r="P186">
        <f t="shared" si="13"/>
        <v>1249.2</v>
      </c>
    </row>
    <row r="187" spans="1:16" x14ac:dyDescent="0.25">
      <c r="A187" t="s">
        <v>223</v>
      </c>
      <c r="B187" s="1">
        <v>45788</v>
      </c>
      <c r="C187" t="s">
        <v>34</v>
      </c>
      <c r="D187" t="s">
        <v>12</v>
      </c>
      <c r="E187" t="s">
        <v>45</v>
      </c>
      <c r="F187" t="s">
        <v>39</v>
      </c>
      <c r="G187" t="s">
        <v>36</v>
      </c>
      <c r="H187">
        <v>175.2</v>
      </c>
      <c r="I187">
        <v>15</v>
      </c>
      <c r="J187">
        <v>2628</v>
      </c>
      <c r="K187" t="str">
        <f t="shared" si="10"/>
        <v>May</v>
      </c>
      <c r="L187" t="str">
        <f t="shared" si="11"/>
        <v>High</v>
      </c>
      <c r="M187" t="str">
        <f t="shared" si="12"/>
        <v>Good</v>
      </c>
      <c r="N187">
        <f t="shared" si="14"/>
        <v>1240</v>
      </c>
      <c r="O187" s="6">
        <v>0.1</v>
      </c>
      <c r="P187">
        <f t="shared" si="13"/>
        <v>2365.2000000000003</v>
      </c>
    </row>
    <row r="188" spans="1:16" x14ac:dyDescent="0.25">
      <c r="A188" t="s">
        <v>224</v>
      </c>
      <c r="B188" s="1">
        <v>45805</v>
      </c>
      <c r="C188" t="s">
        <v>30</v>
      </c>
      <c r="D188" t="s">
        <v>22</v>
      </c>
      <c r="E188" t="s">
        <v>41</v>
      </c>
      <c r="F188" t="s">
        <v>32</v>
      </c>
      <c r="G188" t="s">
        <v>20</v>
      </c>
      <c r="H188">
        <v>209.79</v>
      </c>
      <c r="I188">
        <v>18</v>
      </c>
      <c r="J188">
        <v>3776.22</v>
      </c>
      <c r="K188" t="str">
        <f t="shared" si="10"/>
        <v>May</v>
      </c>
      <c r="L188" t="str">
        <f t="shared" si="11"/>
        <v>High</v>
      </c>
      <c r="M188" t="str">
        <f t="shared" si="12"/>
        <v>Excellent</v>
      </c>
      <c r="N188">
        <f t="shared" si="14"/>
        <v>1148.2199999999998</v>
      </c>
      <c r="O188" s="6">
        <v>0.1</v>
      </c>
      <c r="P188">
        <f t="shared" si="13"/>
        <v>3398.598</v>
      </c>
    </row>
    <row r="189" spans="1:16" x14ac:dyDescent="0.25">
      <c r="A189" t="s">
        <v>225</v>
      </c>
      <c r="B189" s="1">
        <v>45811</v>
      </c>
      <c r="C189" t="s">
        <v>17</v>
      </c>
      <c r="D189" t="s">
        <v>35</v>
      </c>
      <c r="E189" t="s">
        <v>41</v>
      </c>
      <c r="F189" t="s">
        <v>39</v>
      </c>
      <c r="G189" t="s">
        <v>36</v>
      </c>
      <c r="H189">
        <v>152.13999999999999</v>
      </c>
      <c r="I189">
        <v>14</v>
      </c>
      <c r="J189">
        <v>2129.96</v>
      </c>
      <c r="K189" t="str">
        <f t="shared" si="10"/>
        <v>Jun</v>
      </c>
      <c r="L189" t="str">
        <f t="shared" si="11"/>
        <v>High</v>
      </c>
      <c r="M189" t="str">
        <f t="shared" si="12"/>
        <v>Good</v>
      </c>
      <c r="N189">
        <f t="shared" si="14"/>
        <v>-1646.2599999999998</v>
      </c>
      <c r="O189" s="6">
        <v>0.1</v>
      </c>
      <c r="P189">
        <f t="shared" si="13"/>
        <v>1916.9640000000002</v>
      </c>
    </row>
    <row r="190" spans="1:16" x14ac:dyDescent="0.25">
      <c r="A190" t="s">
        <v>226</v>
      </c>
      <c r="B190" s="1">
        <v>45759</v>
      </c>
      <c r="C190" t="s">
        <v>38</v>
      </c>
      <c r="D190" t="s">
        <v>22</v>
      </c>
      <c r="E190" t="s">
        <v>23</v>
      </c>
      <c r="F190" t="s">
        <v>61</v>
      </c>
      <c r="G190" t="s">
        <v>20</v>
      </c>
      <c r="H190">
        <v>146.52000000000001</v>
      </c>
      <c r="I190">
        <v>13</v>
      </c>
      <c r="J190">
        <v>1904.76</v>
      </c>
      <c r="K190" t="str">
        <f t="shared" si="10"/>
        <v>Apr</v>
      </c>
      <c r="L190" t="str">
        <f t="shared" si="11"/>
        <v>Low</v>
      </c>
      <c r="M190" t="str">
        <f t="shared" si="12"/>
        <v>Good</v>
      </c>
      <c r="N190">
        <f t="shared" si="14"/>
        <v>-225.20000000000005</v>
      </c>
      <c r="O190" s="6">
        <v>0.1</v>
      </c>
      <c r="P190">
        <f t="shared" si="13"/>
        <v>1714.2840000000001</v>
      </c>
    </row>
    <row r="191" spans="1:16" x14ac:dyDescent="0.25">
      <c r="A191" t="s">
        <v>227</v>
      </c>
      <c r="B191" s="1">
        <v>45841</v>
      </c>
      <c r="C191" t="s">
        <v>34</v>
      </c>
      <c r="D191" t="s">
        <v>12</v>
      </c>
      <c r="E191" t="s">
        <v>13</v>
      </c>
      <c r="F191" t="s">
        <v>19</v>
      </c>
      <c r="G191" t="s">
        <v>20</v>
      </c>
      <c r="H191">
        <v>83.21</v>
      </c>
      <c r="I191">
        <v>19</v>
      </c>
      <c r="J191">
        <v>1580.99</v>
      </c>
      <c r="K191" t="str">
        <f t="shared" si="10"/>
        <v>Jul</v>
      </c>
      <c r="L191" t="str">
        <f t="shared" si="11"/>
        <v>Low</v>
      </c>
      <c r="M191" t="str">
        <f t="shared" si="12"/>
        <v>Good</v>
      </c>
      <c r="N191">
        <f t="shared" si="14"/>
        <v>-323.77</v>
      </c>
      <c r="O191" s="6">
        <v>0.1</v>
      </c>
      <c r="P191">
        <f t="shared" si="13"/>
        <v>1422.8910000000001</v>
      </c>
    </row>
    <row r="192" spans="1:16" x14ac:dyDescent="0.25">
      <c r="A192" t="s">
        <v>228</v>
      </c>
      <c r="B192" s="1">
        <v>45860</v>
      </c>
      <c r="C192" t="s">
        <v>11</v>
      </c>
      <c r="D192" t="s">
        <v>55</v>
      </c>
      <c r="E192" t="s">
        <v>27</v>
      </c>
      <c r="F192" t="s">
        <v>39</v>
      </c>
      <c r="G192" t="s">
        <v>20</v>
      </c>
      <c r="H192">
        <v>50.48</v>
      </c>
      <c r="I192">
        <v>9</v>
      </c>
      <c r="J192">
        <v>454.32</v>
      </c>
      <c r="K192" t="str">
        <f t="shared" si="10"/>
        <v>Jul</v>
      </c>
      <c r="L192" t="str">
        <f t="shared" si="11"/>
        <v>Low</v>
      </c>
      <c r="M192" t="str">
        <f t="shared" si="12"/>
        <v>Low</v>
      </c>
      <c r="N192">
        <f t="shared" si="14"/>
        <v>-1126.67</v>
      </c>
      <c r="O192" s="6">
        <v>0.1</v>
      </c>
      <c r="P192">
        <f t="shared" si="13"/>
        <v>408.88799999999998</v>
      </c>
    </row>
    <row r="193" spans="1:16" x14ac:dyDescent="0.25">
      <c r="A193" t="s">
        <v>229</v>
      </c>
      <c r="B193" s="1">
        <v>45683</v>
      </c>
      <c r="C193" t="s">
        <v>17</v>
      </c>
      <c r="D193" t="s">
        <v>31</v>
      </c>
      <c r="E193" t="s">
        <v>13</v>
      </c>
      <c r="F193" t="s">
        <v>39</v>
      </c>
      <c r="G193" t="s">
        <v>15</v>
      </c>
      <c r="H193">
        <v>227.39</v>
      </c>
      <c r="I193">
        <v>20</v>
      </c>
      <c r="J193">
        <v>4547.8</v>
      </c>
      <c r="K193" t="str">
        <f t="shared" si="10"/>
        <v>Jan</v>
      </c>
      <c r="L193" t="str">
        <f t="shared" si="11"/>
        <v>High</v>
      </c>
      <c r="M193" t="str">
        <f t="shared" si="12"/>
        <v>Excellent</v>
      </c>
      <c r="N193">
        <f t="shared" si="14"/>
        <v>4093.48</v>
      </c>
      <c r="O193" s="6">
        <v>0.1</v>
      </c>
      <c r="P193">
        <f t="shared" si="13"/>
        <v>4093.0200000000004</v>
      </c>
    </row>
    <row r="194" spans="1:16" x14ac:dyDescent="0.25">
      <c r="A194" t="s">
        <v>230</v>
      </c>
      <c r="B194" s="1">
        <v>45968</v>
      </c>
      <c r="C194" t="s">
        <v>30</v>
      </c>
      <c r="D194" t="s">
        <v>12</v>
      </c>
      <c r="E194" t="s">
        <v>23</v>
      </c>
      <c r="F194" t="s">
        <v>42</v>
      </c>
      <c r="G194" t="s">
        <v>36</v>
      </c>
      <c r="H194">
        <v>228.09</v>
      </c>
      <c r="I194">
        <v>12</v>
      </c>
      <c r="J194">
        <v>2737.08</v>
      </c>
      <c r="K194" t="str">
        <f t="shared" ref="K194:K257" si="15">TEXT(B194,"MMM")</f>
        <v>Nov</v>
      </c>
      <c r="L194" t="str">
        <f t="shared" ref="L194:L257" si="16">IF(J194&gt;2000,"High","Low")</f>
        <v>High</v>
      </c>
      <c r="M194" t="str">
        <f t="shared" ref="M194:M257" si="17">IF(J194&gt;3000,"Excellent",
 IF(J194&gt;1500,"Good",
 IF(J194&gt;500,"Average","Low")))</f>
        <v>Good</v>
      </c>
      <c r="N194">
        <f t="shared" si="14"/>
        <v>-1810.7200000000003</v>
      </c>
      <c r="O194" s="6">
        <v>0.1</v>
      </c>
      <c r="P194">
        <f t="shared" ref="P194:P257" si="18">J194*(1-O194)</f>
        <v>2463.3719999999998</v>
      </c>
    </row>
    <row r="195" spans="1:16" x14ac:dyDescent="0.25">
      <c r="A195" t="s">
        <v>231</v>
      </c>
      <c r="B195" s="1">
        <v>46005</v>
      </c>
      <c r="C195" t="s">
        <v>17</v>
      </c>
      <c r="D195" t="s">
        <v>22</v>
      </c>
      <c r="E195" t="s">
        <v>27</v>
      </c>
      <c r="F195" t="s">
        <v>28</v>
      </c>
      <c r="G195" t="s">
        <v>15</v>
      </c>
      <c r="H195">
        <v>169.28</v>
      </c>
      <c r="I195">
        <v>5</v>
      </c>
      <c r="J195">
        <v>846.4</v>
      </c>
      <c r="K195" t="str">
        <f t="shared" si="15"/>
        <v>Dec</v>
      </c>
      <c r="L195" t="str">
        <f t="shared" si="16"/>
        <v>Low</v>
      </c>
      <c r="M195" t="str">
        <f t="shared" si="17"/>
        <v>Average</v>
      </c>
      <c r="N195">
        <f t="shared" ref="N195:N258" si="19">J195-J194</f>
        <v>-1890.6799999999998</v>
      </c>
      <c r="O195" s="6">
        <v>0.1</v>
      </c>
      <c r="P195">
        <f t="shared" si="18"/>
        <v>761.76</v>
      </c>
    </row>
    <row r="196" spans="1:16" x14ac:dyDescent="0.25">
      <c r="A196" t="s">
        <v>232</v>
      </c>
      <c r="B196" s="1">
        <v>45816</v>
      </c>
      <c r="C196" t="s">
        <v>11</v>
      </c>
      <c r="D196" t="s">
        <v>55</v>
      </c>
      <c r="E196" t="s">
        <v>13</v>
      </c>
      <c r="F196" t="s">
        <v>28</v>
      </c>
      <c r="G196" t="s">
        <v>15</v>
      </c>
      <c r="H196">
        <v>104.59</v>
      </c>
      <c r="I196">
        <v>15</v>
      </c>
      <c r="J196">
        <v>1568.85</v>
      </c>
      <c r="K196" t="str">
        <f t="shared" si="15"/>
        <v>Jun</v>
      </c>
      <c r="L196" t="str">
        <f t="shared" si="16"/>
        <v>Low</v>
      </c>
      <c r="M196" t="str">
        <f t="shared" si="17"/>
        <v>Good</v>
      </c>
      <c r="N196">
        <f t="shared" si="19"/>
        <v>722.44999999999993</v>
      </c>
      <c r="O196" s="6">
        <v>0.1</v>
      </c>
      <c r="P196">
        <f t="shared" si="18"/>
        <v>1411.9649999999999</v>
      </c>
    </row>
    <row r="197" spans="1:16" x14ac:dyDescent="0.25">
      <c r="A197" t="s">
        <v>233</v>
      </c>
      <c r="B197" s="1">
        <v>45704</v>
      </c>
      <c r="C197" t="s">
        <v>34</v>
      </c>
      <c r="D197" t="s">
        <v>12</v>
      </c>
      <c r="E197" t="s">
        <v>41</v>
      </c>
      <c r="F197" t="s">
        <v>14</v>
      </c>
      <c r="G197" t="s">
        <v>15</v>
      </c>
      <c r="H197">
        <v>106.83</v>
      </c>
      <c r="I197">
        <v>10</v>
      </c>
      <c r="J197">
        <v>1068.3</v>
      </c>
      <c r="K197" t="str">
        <f t="shared" si="15"/>
        <v>Feb</v>
      </c>
      <c r="L197" t="str">
        <f t="shared" si="16"/>
        <v>Low</v>
      </c>
      <c r="M197" t="str">
        <f t="shared" si="17"/>
        <v>Average</v>
      </c>
      <c r="N197">
        <f t="shared" si="19"/>
        <v>-500.54999999999995</v>
      </c>
      <c r="O197" s="6">
        <v>0.1</v>
      </c>
      <c r="P197">
        <f t="shared" si="18"/>
        <v>961.47</v>
      </c>
    </row>
    <row r="198" spans="1:16" x14ac:dyDescent="0.25">
      <c r="A198" t="s">
        <v>234</v>
      </c>
      <c r="B198" s="1">
        <v>45725</v>
      </c>
      <c r="C198" t="s">
        <v>34</v>
      </c>
      <c r="D198" t="s">
        <v>55</v>
      </c>
      <c r="E198" t="s">
        <v>18</v>
      </c>
      <c r="F198" t="s">
        <v>32</v>
      </c>
      <c r="G198" t="s">
        <v>15</v>
      </c>
      <c r="H198">
        <v>189.71</v>
      </c>
      <c r="I198">
        <v>18</v>
      </c>
      <c r="J198">
        <v>3414.78</v>
      </c>
      <c r="K198" t="str">
        <f t="shared" si="15"/>
        <v>Mar</v>
      </c>
      <c r="L198" t="str">
        <f t="shared" si="16"/>
        <v>High</v>
      </c>
      <c r="M198" t="str">
        <f t="shared" si="17"/>
        <v>Excellent</v>
      </c>
      <c r="N198">
        <f t="shared" si="19"/>
        <v>2346.4800000000005</v>
      </c>
      <c r="O198" s="6">
        <v>0.1</v>
      </c>
      <c r="P198">
        <f t="shared" si="18"/>
        <v>3073.3020000000001</v>
      </c>
    </row>
    <row r="199" spans="1:16" x14ac:dyDescent="0.25">
      <c r="A199" t="s">
        <v>235</v>
      </c>
      <c r="B199" s="1">
        <v>45789</v>
      </c>
      <c r="C199" t="s">
        <v>34</v>
      </c>
      <c r="D199" t="s">
        <v>12</v>
      </c>
      <c r="E199" t="s">
        <v>13</v>
      </c>
      <c r="F199" t="s">
        <v>39</v>
      </c>
      <c r="G199" t="s">
        <v>15</v>
      </c>
      <c r="H199">
        <v>227.36</v>
      </c>
      <c r="I199">
        <v>16</v>
      </c>
      <c r="J199">
        <v>3637.76</v>
      </c>
      <c r="K199" t="str">
        <f t="shared" si="15"/>
        <v>May</v>
      </c>
      <c r="L199" t="str">
        <f t="shared" si="16"/>
        <v>High</v>
      </c>
      <c r="M199" t="str">
        <f t="shared" si="17"/>
        <v>Excellent</v>
      </c>
      <c r="N199">
        <f t="shared" si="19"/>
        <v>222.98000000000002</v>
      </c>
      <c r="O199" s="6">
        <v>0.1</v>
      </c>
      <c r="P199">
        <f t="shared" si="18"/>
        <v>3273.9840000000004</v>
      </c>
    </row>
    <row r="200" spans="1:16" x14ac:dyDescent="0.25">
      <c r="A200" t="s">
        <v>236</v>
      </c>
      <c r="B200" s="1">
        <v>45897</v>
      </c>
      <c r="C200" t="s">
        <v>30</v>
      </c>
      <c r="D200" t="s">
        <v>26</v>
      </c>
      <c r="E200" t="s">
        <v>27</v>
      </c>
      <c r="F200" t="s">
        <v>28</v>
      </c>
      <c r="G200" t="s">
        <v>20</v>
      </c>
      <c r="H200">
        <v>225.16</v>
      </c>
      <c r="I200">
        <v>3</v>
      </c>
      <c r="J200">
        <v>675.48</v>
      </c>
      <c r="K200" t="str">
        <f t="shared" si="15"/>
        <v>Aug</v>
      </c>
      <c r="L200" t="str">
        <f t="shared" si="16"/>
        <v>Low</v>
      </c>
      <c r="M200" t="str">
        <f t="shared" si="17"/>
        <v>Average</v>
      </c>
      <c r="N200">
        <f t="shared" si="19"/>
        <v>-2962.28</v>
      </c>
      <c r="O200" s="6">
        <v>0.1</v>
      </c>
      <c r="P200">
        <f t="shared" si="18"/>
        <v>607.93200000000002</v>
      </c>
    </row>
    <row r="201" spans="1:16" x14ac:dyDescent="0.25">
      <c r="A201" t="s">
        <v>237</v>
      </c>
      <c r="B201" s="1">
        <v>45861</v>
      </c>
      <c r="C201" t="s">
        <v>34</v>
      </c>
      <c r="D201" t="s">
        <v>22</v>
      </c>
      <c r="E201" t="s">
        <v>41</v>
      </c>
      <c r="F201" t="s">
        <v>19</v>
      </c>
      <c r="G201" t="s">
        <v>36</v>
      </c>
      <c r="H201">
        <v>201.57</v>
      </c>
      <c r="I201">
        <v>18</v>
      </c>
      <c r="J201">
        <v>3628.26</v>
      </c>
      <c r="K201" t="str">
        <f t="shared" si="15"/>
        <v>Jul</v>
      </c>
      <c r="L201" t="str">
        <f t="shared" si="16"/>
        <v>High</v>
      </c>
      <c r="M201" t="str">
        <f t="shared" si="17"/>
        <v>Excellent</v>
      </c>
      <c r="N201">
        <f t="shared" si="19"/>
        <v>2952.78</v>
      </c>
      <c r="O201" s="6">
        <v>0.1</v>
      </c>
      <c r="P201">
        <f t="shared" si="18"/>
        <v>3265.4340000000002</v>
      </c>
    </row>
    <row r="202" spans="1:16" x14ac:dyDescent="0.25">
      <c r="A202" t="s">
        <v>238</v>
      </c>
      <c r="B202" s="1">
        <v>45932</v>
      </c>
      <c r="C202" t="s">
        <v>38</v>
      </c>
      <c r="D202" t="s">
        <v>35</v>
      </c>
      <c r="E202" t="s">
        <v>27</v>
      </c>
      <c r="F202" t="s">
        <v>28</v>
      </c>
      <c r="G202" t="s">
        <v>20</v>
      </c>
      <c r="H202">
        <v>171.25</v>
      </c>
      <c r="I202">
        <v>4</v>
      </c>
      <c r="J202">
        <v>685</v>
      </c>
      <c r="K202" t="str">
        <f t="shared" si="15"/>
        <v>Oct</v>
      </c>
      <c r="L202" t="str">
        <f t="shared" si="16"/>
        <v>Low</v>
      </c>
      <c r="M202" t="str">
        <f t="shared" si="17"/>
        <v>Average</v>
      </c>
      <c r="N202">
        <f t="shared" si="19"/>
        <v>-2943.26</v>
      </c>
      <c r="O202" s="6">
        <v>0.1</v>
      </c>
      <c r="P202">
        <f t="shared" si="18"/>
        <v>616.5</v>
      </c>
    </row>
    <row r="203" spans="1:16" x14ac:dyDescent="0.25">
      <c r="A203" t="s">
        <v>239</v>
      </c>
      <c r="B203" s="1">
        <v>45792</v>
      </c>
      <c r="C203" t="s">
        <v>38</v>
      </c>
      <c r="D203" t="s">
        <v>12</v>
      </c>
      <c r="E203" t="s">
        <v>13</v>
      </c>
      <c r="F203" t="s">
        <v>19</v>
      </c>
      <c r="G203" t="s">
        <v>20</v>
      </c>
      <c r="H203">
        <v>48.51</v>
      </c>
      <c r="I203">
        <v>19</v>
      </c>
      <c r="J203">
        <v>921.69</v>
      </c>
      <c r="K203" t="str">
        <f t="shared" si="15"/>
        <v>May</v>
      </c>
      <c r="L203" t="str">
        <f t="shared" si="16"/>
        <v>Low</v>
      </c>
      <c r="M203" t="str">
        <f t="shared" si="17"/>
        <v>Average</v>
      </c>
      <c r="N203">
        <f t="shared" si="19"/>
        <v>236.69000000000005</v>
      </c>
      <c r="O203" s="6">
        <v>0.1</v>
      </c>
      <c r="P203">
        <f t="shared" si="18"/>
        <v>829.52100000000007</v>
      </c>
    </row>
    <row r="204" spans="1:16" x14ac:dyDescent="0.25">
      <c r="A204" t="s">
        <v>240</v>
      </c>
      <c r="B204" s="1">
        <v>45777</v>
      </c>
      <c r="C204" t="s">
        <v>11</v>
      </c>
      <c r="D204" t="s">
        <v>55</v>
      </c>
      <c r="E204" t="s">
        <v>18</v>
      </c>
      <c r="F204" t="s">
        <v>32</v>
      </c>
      <c r="G204" t="s">
        <v>20</v>
      </c>
      <c r="H204">
        <v>65.56</v>
      </c>
      <c r="I204">
        <v>16</v>
      </c>
      <c r="J204">
        <v>1048.96</v>
      </c>
      <c r="K204" t="str">
        <f t="shared" si="15"/>
        <v>Apr</v>
      </c>
      <c r="L204" t="str">
        <f t="shared" si="16"/>
        <v>Low</v>
      </c>
      <c r="M204" t="str">
        <f t="shared" si="17"/>
        <v>Average</v>
      </c>
      <c r="N204">
        <f t="shared" si="19"/>
        <v>127.26999999999998</v>
      </c>
      <c r="O204" s="6">
        <v>0.1</v>
      </c>
      <c r="P204">
        <f t="shared" si="18"/>
        <v>944.06400000000008</v>
      </c>
    </row>
    <row r="205" spans="1:16" x14ac:dyDescent="0.25">
      <c r="A205" t="s">
        <v>241</v>
      </c>
      <c r="B205" s="1">
        <v>45771</v>
      </c>
      <c r="C205" t="s">
        <v>17</v>
      </c>
      <c r="D205" t="s">
        <v>31</v>
      </c>
      <c r="E205" t="s">
        <v>27</v>
      </c>
      <c r="F205" t="s">
        <v>32</v>
      </c>
      <c r="G205" t="s">
        <v>20</v>
      </c>
      <c r="H205">
        <v>227.68</v>
      </c>
      <c r="I205">
        <v>3</v>
      </c>
      <c r="J205">
        <v>683.04</v>
      </c>
      <c r="K205" t="str">
        <f t="shared" si="15"/>
        <v>Apr</v>
      </c>
      <c r="L205" t="str">
        <f t="shared" si="16"/>
        <v>Low</v>
      </c>
      <c r="M205" t="str">
        <f t="shared" si="17"/>
        <v>Average</v>
      </c>
      <c r="N205">
        <f t="shared" si="19"/>
        <v>-365.92000000000007</v>
      </c>
      <c r="O205" s="6">
        <v>0.1</v>
      </c>
      <c r="P205">
        <f t="shared" si="18"/>
        <v>614.73599999999999</v>
      </c>
    </row>
    <row r="206" spans="1:16" x14ac:dyDescent="0.25">
      <c r="A206" t="s">
        <v>242</v>
      </c>
      <c r="B206" s="1">
        <v>45867</v>
      </c>
      <c r="C206" t="s">
        <v>30</v>
      </c>
      <c r="D206" t="s">
        <v>22</v>
      </c>
      <c r="E206" t="s">
        <v>45</v>
      </c>
      <c r="F206" t="s">
        <v>32</v>
      </c>
      <c r="G206" t="s">
        <v>36</v>
      </c>
      <c r="H206">
        <v>163.41</v>
      </c>
      <c r="I206">
        <v>4</v>
      </c>
      <c r="J206">
        <v>653.64</v>
      </c>
      <c r="K206" t="str">
        <f t="shared" si="15"/>
        <v>Jul</v>
      </c>
      <c r="L206" t="str">
        <f t="shared" si="16"/>
        <v>Low</v>
      </c>
      <c r="M206" t="str">
        <f t="shared" si="17"/>
        <v>Average</v>
      </c>
      <c r="N206">
        <f t="shared" si="19"/>
        <v>-29.399999999999977</v>
      </c>
      <c r="O206" s="6">
        <v>0.1</v>
      </c>
      <c r="P206">
        <f t="shared" si="18"/>
        <v>588.27599999999995</v>
      </c>
    </row>
    <row r="207" spans="1:16" x14ac:dyDescent="0.25">
      <c r="A207" t="s">
        <v>243</v>
      </c>
      <c r="B207" s="1">
        <v>45717</v>
      </c>
      <c r="C207" t="s">
        <v>30</v>
      </c>
      <c r="D207" t="s">
        <v>55</v>
      </c>
      <c r="E207" t="s">
        <v>23</v>
      </c>
      <c r="F207" t="s">
        <v>61</v>
      </c>
      <c r="G207" t="s">
        <v>36</v>
      </c>
      <c r="H207">
        <v>32.020000000000003</v>
      </c>
      <c r="I207">
        <v>4</v>
      </c>
      <c r="J207">
        <v>128.08000000000001</v>
      </c>
      <c r="K207" t="str">
        <f t="shared" si="15"/>
        <v>Mar</v>
      </c>
      <c r="L207" t="str">
        <f t="shared" si="16"/>
        <v>Low</v>
      </c>
      <c r="M207" t="str">
        <f t="shared" si="17"/>
        <v>Low</v>
      </c>
      <c r="N207">
        <f t="shared" si="19"/>
        <v>-525.55999999999995</v>
      </c>
      <c r="O207" s="6">
        <v>0.1</v>
      </c>
      <c r="P207">
        <f t="shared" si="18"/>
        <v>115.27200000000002</v>
      </c>
    </row>
    <row r="208" spans="1:16" x14ac:dyDescent="0.25">
      <c r="A208" t="s">
        <v>244</v>
      </c>
      <c r="B208" s="1">
        <v>45847</v>
      </c>
      <c r="C208" t="s">
        <v>38</v>
      </c>
      <c r="D208" t="s">
        <v>55</v>
      </c>
      <c r="E208" t="s">
        <v>27</v>
      </c>
      <c r="F208" t="s">
        <v>28</v>
      </c>
      <c r="G208" t="s">
        <v>15</v>
      </c>
      <c r="H208">
        <v>52.32</v>
      </c>
      <c r="I208">
        <v>18</v>
      </c>
      <c r="J208">
        <v>941.76</v>
      </c>
      <c r="K208" t="str">
        <f t="shared" si="15"/>
        <v>Jul</v>
      </c>
      <c r="L208" t="str">
        <f t="shared" si="16"/>
        <v>Low</v>
      </c>
      <c r="M208" t="str">
        <f t="shared" si="17"/>
        <v>Average</v>
      </c>
      <c r="N208">
        <f t="shared" si="19"/>
        <v>813.68</v>
      </c>
      <c r="O208" s="6">
        <v>0.1</v>
      </c>
      <c r="P208">
        <f t="shared" si="18"/>
        <v>847.58400000000006</v>
      </c>
    </row>
    <row r="209" spans="1:16" x14ac:dyDescent="0.25">
      <c r="A209" t="s">
        <v>245</v>
      </c>
      <c r="B209" s="1">
        <v>45870</v>
      </c>
      <c r="C209" t="s">
        <v>38</v>
      </c>
      <c r="D209" t="s">
        <v>55</v>
      </c>
      <c r="E209" t="s">
        <v>41</v>
      </c>
      <c r="F209" t="s">
        <v>32</v>
      </c>
      <c r="G209" t="s">
        <v>15</v>
      </c>
      <c r="H209">
        <v>175.97</v>
      </c>
      <c r="I209">
        <v>4</v>
      </c>
      <c r="J209">
        <v>703.88</v>
      </c>
      <c r="K209" t="str">
        <f t="shared" si="15"/>
        <v>Aug</v>
      </c>
      <c r="L209" t="str">
        <f t="shared" si="16"/>
        <v>Low</v>
      </c>
      <c r="M209" t="str">
        <f t="shared" si="17"/>
        <v>Average</v>
      </c>
      <c r="N209">
        <f t="shared" si="19"/>
        <v>-237.88</v>
      </c>
      <c r="O209" s="6">
        <v>0.1</v>
      </c>
      <c r="P209">
        <f t="shared" si="18"/>
        <v>633.49199999999996</v>
      </c>
    </row>
    <row r="210" spans="1:16" x14ac:dyDescent="0.25">
      <c r="A210" t="s">
        <v>246</v>
      </c>
      <c r="B210" s="1">
        <v>46011</v>
      </c>
      <c r="C210" t="s">
        <v>30</v>
      </c>
      <c r="D210" t="s">
        <v>31</v>
      </c>
      <c r="E210" t="s">
        <v>41</v>
      </c>
      <c r="F210" t="s">
        <v>14</v>
      </c>
      <c r="G210" t="s">
        <v>36</v>
      </c>
      <c r="H210">
        <v>31.11</v>
      </c>
      <c r="I210">
        <v>12</v>
      </c>
      <c r="J210">
        <v>373.32</v>
      </c>
      <c r="K210" t="str">
        <f t="shared" si="15"/>
        <v>Dec</v>
      </c>
      <c r="L210" t="str">
        <f t="shared" si="16"/>
        <v>Low</v>
      </c>
      <c r="M210" t="str">
        <f t="shared" si="17"/>
        <v>Low</v>
      </c>
      <c r="N210">
        <f t="shared" si="19"/>
        <v>-330.56</v>
      </c>
      <c r="O210" s="6">
        <v>0.1</v>
      </c>
      <c r="P210">
        <f t="shared" si="18"/>
        <v>335.988</v>
      </c>
    </row>
    <row r="211" spans="1:16" x14ac:dyDescent="0.25">
      <c r="A211" t="s">
        <v>247</v>
      </c>
      <c r="B211" s="1">
        <v>45708</v>
      </c>
      <c r="C211" t="s">
        <v>25</v>
      </c>
      <c r="D211" t="s">
        <v>12</v>
      </c>
      <c r="E211" t="s">
        <v>13</v>
      </c>
      <c r="F211" t="s">
        <v>19</v>
      </c>
      <c r="G211" t="s">
        <v>36</v>
      </c>
      <c r="H211">
        <v>65.38</v>
      </c>
      <c r="I211">
        <v>12</v>
      </c>
      <c r="J211">
        <v>784.56</v>
      </c>
      <c r="K211" t="str">
        <f t="shared" si="15"/>
        <v>Feb</v>
      </c>
      <c r="L211" t="str">
        <f t="shared" si="16"/>
        <v>Low</v>
      </c>
      <c r="M211" t="str">
        <f t="shared" si="17"/>
        <v>Average</v>
      </c>
      <c r="N211">
        <f t="shared" si="19"/>
        <v>411.23999999999995</v>
      </c>
      <c r="O211" s="6">
        <v>0.1</v>
      </c>
      <c r="P211">
        <f t="shared" si="18"/>
        <v>706.10399999999993</v>
      </c>
    </row>
    <row r="212" spans="1:16" x14ac:dyDescent="0.25">
      <c r="A212" t="s">
        <v>248</v>
      </c>
      <c r="B212" s="1">
        <v>45799</v>
      </c>
      <c r="C212" t="s">
        <v>11</v>
      </c>
      <c r="D212" t="s">
        <v>31</v>
      </c>
      <c r="E212" t="s">
        <v>45</v>
      </c>
      <c r="F212" t="s">
        <v>28</v>
      </c>
      <c r="G212" t="s">
        <v>15</v>
      </c>
      <c r="H212">
        <v>150.72</v>
      </c>
      <c r="I212">
        <v>7</v>
      </c>
      <c r="J212">
        <v>1055.04</v>
      </c>
      <c r="K212" t="str">
        <f t="shared" si="15"/>
        <v>May</v>
      </c>
      <c r="L212" t="str">
        <f t="shared" si="16"/>
        <v>Low</v>
      </c>
      <c r="M212" t="str">
        <f t="shared" si="17"/>
        <v>Average</v>
      </c>
      <c r="N212">
        <f t="shared" si="19"/>
        <v>270.48</v>
      </c>
      <c r="O212" s="6">
        <v>0.1</v>
      </c>
      <c r="P212">
        <f t="shared" si="18"/>
        <v>949.53599999999994</v>
      </c>
    </row>
    <row r="213" spans="1:16" x14ac:dyDescent="0.25">
      <c r="A213" t="s">
        <v>249</v>
      </c>
      <c r="B213" s="1">
        <v>45986</v>
      </c>
      <c r="C213" t="s">
        <v>11</v>
      </c>
      <c r="D213" t="s">
        <v>22</v>
      </c>
      <c r="E213" t="s">
        <v>13</v>
      </c>
      <c r="F213" t="s">
        <v>14</v>
      </c>
      <c r="G213" t="s">
        <v>15</v>
      </c>
      <c r="H213">
        <v>182.22</v>
      </c>
      <c r="I213">
        <v>20</v>
      </c>
      <c r="J213">
        <v>3644.4</v>
      </c>
      <c r="K213" t="str">
        <f t="shared" si="15"/>
        <v>Nov</v>
      </c>
      <c r="L213" t="str">
        <f t="shared" si="16"/>
        <v>High</v>
      </c>
      <c r="M213" t="str">
        <f t="shared" si="17"/>
        <v>Excellent</v>
      </c>
      <c r="N213">
        <f t="shared" si="19"/>
        <v>2589.36</v>
      </c>
      <c r="O213" s="6">
        <v>0.1</v>
      </c>
      <c r="P213">
        <f t="shared" si="18"/>
        <v>3279.96</v>
      </c>
    </row>
    <row r="214" spans="1:16" x14ac:dyDescent="0.25">
      <c r="A214" t="s">
        <v>250</v>
      </c>
      <c r="B214" s="1">
        <v>45947</v>
      </c>
      <c r="C214" t="s">
        <v>11</v>
      </c>
      <c r="D214" t="s">
        <v>55</v>
      </c>
      <c r="E214" t="s">
        <v>23</v>
      </c>
      <c r="F214" t="s">
        <v>42</v>
      </c>
      <c r="G214" t="s">
        <v>15</v>
      </c>
      <c r="H214">
        <v>173.43</v>
      </c>
      <c r="I214">
        <v>7</v>
      </c>
      <c r="J214">
        <v>1214.01</v>
      </c>
      <c r="K214" t="str">
        <f t="shared" si="15"/>
        <v>Oct</v>
      </c>
      <c r="L214" t="str">
        <f t="shared" si="16"/>
        <v>Low</v>
      </c>
      <c r="M214" t="str">
        <f t="shared" si="17"/>
        <v>Average</v>
      </c>
      <c r="N214">
        <f t="shared" si="19"/>
        <v>-2430.3900000000003</v>
      </c>
      <c r="O214" s="6">
        <v>0.1</v>
      </c>
      <c r="P214">
        <f t="shared" si="18"/>
        <v>1092.6089999999999</v>
      </c>
    </row>
    <row r="215" spans="1:16" x14ac:dyDescent="0.25">
      <c r="A215" t="s">
        <v>251</v>
      </c>
      <c r="B215" s="1">
        <v>45777</v>
      </c>
      <c r="C215" t="s">
        <v>30</v>
      </c>
      <c r="D215" t="s">
        <v>55</v>
      </c>
      <c r="E215" t="s">
        <v>45</v>
      </c>
      <c r="F215" t="s">
        <v>32</v>
      </c>
      <c r="G215" t="s">
        <v>15</v>
      </c>
      <c r="H215">
        <v>79.34</v>
      </c>
      <c r="I215">
        <v>11</v>
      </c>
      <c r="J215">
        <v>872.74</v>
      </c>
      <c r="K215" t="str">
        <f t="shared" si="15"/>
        <v>Apr</v>
      </c>
      <c r="L215" t="str">
        <f t="shared" si="16"/>
        <v>Low</v>
      </c>
      <c r="M215" t="str">
        <f t="shared" si="17"/>
        <v>Average</v>
      </c>
      <c r="N215">
        <f t="shared" si="19"/>
        <v>-341.27</v>
      </c>
      <c r="O215" s="6">
        <v>0.1</v>
      </c>
      <c r="P215">
        <f t="shared" si="18"/>
        <v>785.46600000000001</v>
      </c>
    </row>
    <row r="216" spans="1:16" x14ac:dyDescent="0.25">
      <c r="A216" t="s">
        <v>252</v>
      </c>
      <c r="B216" s="1">
        <v>45724</v>
      </c>
      <c r="C216" t="s">
        <v>34</v>
      </c>
      <c r="D216" t="s">
        <v>26</v>
      </c>
      <c r="E216" t="s">
        <v>45</v>
      </c>
      <c r="F216" t="s">
        <v>28</v>
      </c>
      <c r="G216" t="s">
        <v>15</v>
      </c>
      <c r="H216">
        <v>186.68</v>
      </c>
      <c r="I216">
        <v>18</v>
      </c>
      <c r="J216">
        <v>3360.24</v>
      </c>
      <c r="K216" t="str">
        <f t="shared" si="15"/>
        <v>Mar</v>
      </c>
      <c r="L216" t="str">
        <f t="shared" si="16"/>
        <v>High</v>
      </c>
      <c r="M216" t="str">
        <f t="shared" si="17"/>
        <v>Excellent</v>
      </c>
      <c r="N216">
        <f t="shared" si="19"/>
        <v>2487.5</v>
      </c>
      <c r="O216" s="6">
        <v>0.1</v>
      </c>
      <c r="P216">
        <f t="shared" si="18"/>
        <v>3024.2159999999999</v>
      </c>
    </row>
    <row r="217" spans="1:16" x14ac:dyDescent="0.25">
      <c r="A217" t="s">
        <v>253</v>
      </c>
      <c r="B217" s="1">
        <v>45725</v>
      </c>
      <c r="C217" t="s">
        <v>34</v>
      </c>
      <c r="D217" t="s">
        <v>26</v>
      </c>
      <c r="E217" t="s">
        <v>18</v>
      </c>
      <c r="F217" t="s">
        <v>32</v>
      </c>
      <c r="G217" t="s">
        <v>15</v>
      </c>
      <c r="H217">
        <v>82.19</v>
      </c>
      <c r="I217">
        <v>1</v>
      </c>
      <c r="J217">
        <v>82.19</v>
      </c>
      <c r="K217" t="str">
        <f t="shared" si="15"/>
        <v>Mar</v>
      </c>
      <c r="L217" t="str">
        <f t="shared" si="16"/>
        <v>Low</v>
      </c>
      <c r="M217" t="str">
        <f t="shared" si="17"/>
        <v>Low</v>
      </c>
      <c r="N217">
        <f t="shared" si="19"/>
        <v>-3278.0499999999997</v>
      </c>
      <c r="O217" s="6">
        <v>0.1</v>
      </c>
      <c r="P217">
        <f t="shared" si="18"/>
        <v>73.971000000000004</v>
      </c>
    </row>
    <row r="218" spans="1:16" x14ac:dyDescent="0.25">
      <c r="A218" t="s">
        <v>254</v>
      </c>
      <c r="B218" s="1">
        <v>45747</v>
      </c>
      <c r="C218" t="s">
        <v>11</v>
      </c>
      <c r="D218" t="s">
        <v>26</v>
      </c>
      <c r="E218" t="s">
        <v>27</v>
      </c>
      <c r="F218" t="s">
        <v>61</v>
      </c>
      <c r="G218" t="s">
        <v>20</v>
      </c>
      <c r="H218">
        <v>101.59</v>
      </c>
      <c r="I218">
        <v>9</v>
      </c>
      <c r="J218">
        <v>914.31</v>
      </c>
      <c r="K218" t="str">
        <f t="shared" si="15"/>
        <v>Mar</v>
      </c>
      <c r="L218" t="str">
        <f t="shared" si="16"/>
        <v>Low</v>
      </c>
      <c r="M218" t="str">
        <f t="shared" si="17"/>
        <v>Average</v>
      </c>
      <c r="N218">
        <f t="shared" si="19"/>
        <v>832.11999999999989</v>
      </c>
      <c r="O218" s="6">
        <v>0.1</v>
      </c>
      <c r="P218">
        <f t="shared" si="18"/>
        <v>822.87900000000002</v>
      </c>
    </row>
    <row r="219" spans="1:16" x14ac:dyDescent="0.25">
      <c r="A219" t="s">
        <v>255</v>
      </c>
      <c r="B219" s="1">
        <v>45716</v>
      </c>
      <c r="C219" t="s">
        <v>38</v>
      </c>
      <c r="D219" t="s">
        <v>31</v>
      </c>
      <c r="E219" t="s">
        <v>13</v>
      </c>
      <c r="F219" t="s">
        <v>42</v>
      </c>
      <c r="G219" t="s">
        <v>20</v>
      </c>
      <c r="H219">
        <v>194.23</v>
      </c>
      <c r="I219">
        <v>3</v>
      </c>
      <c r="J219">
        <v>582.69000000000005</v>
      </c>
      <c r="K219" t="str">
        <f t="shared" si="15"/>
        <v>Feb</v>
      </c>
      <c r="L219" t="str">
        <f t="shared" si="16"/>
        <v>Low</v>
      </c>
      <c r="M219" t="str">
        <f t="shared" si="17"/>
        <v>Average</v>
      </c>
      <c r="N219">
        <f t="shared" si="19"/>
        <v>-331.61999999999989</v>
      </c>
      <c r="O219" s="6">
        <v>0.1</v>
      </c>
      <c r="P219">
        <f t="shared" si="18"/>
        <v>524.42100000000005</v>
      </c>
    </row>
    <row r="220" spans="1:16" x14ac:dyDescent="0.25">
      <c r="A220" t="s">
        <v>256</v>
      </c>
      <c r="B220" s="1">
        <v>45713</v>
      </c>
      <c r="C220" t="s">
        <v>25</v>
      </c>
      <c r="D220" t="s">
        <v>26</v>
      </c>
      <c r="E220" t="s">
        <v>18</v>
      </c>
      <c r="F220" t="s">
        <v>19</v>
      </c>
      <c r="G220" t="s">
        <v>20</v>
      </c>
      <c r="H220">
        <v>172.92</v>
      </c>
      <c r="I220">
        <v>15</v>
      </c>
      <c r="J220">
        <v>2593.8000000000002</v>
      </c>
      <c r="K220" t="str">
        <f t="shared" si="15"/>
        <v>Feb</v>
      </c>
      <c r="L220" t="str">
        <f t="shared" si="16"/>
        <v>High</v>
      </c>
      <c r="M220" t="str">
        <f t="shared" si="17"/>
        <v>Good</v>
      </c>
      <c r="N220">
        <f t="shared" si="19"/>
        <v>2011.1100000000001</v>
      </c>
      <c r="O220" s="6">
        <v>0.1</v>
      </c>
      <c r="P220">
        <f t="shared" si="18"/>
        <v>2334.42</v>
      </c>
    </row>
    <row r="221" spans="1:16" x14ac:dyDescent="0.25">
      <c r="A221" t="s">
        <v>257</v>
      </c>
      <c r="B221" s="1">
        <v>45995</v>
      </c>
      <c r="C221" t="s">
        <v>34</v>
      </c>
      <c r="D221" t="s">
        <v>31</v>
      </c>
      <c r="E221" t="s">
        <v>27</v>
      </c>
      <c r="F221" t="s">
        <v>19</v>
      </c>
      <c r="G221" t="s">
        <v>15</v>
      </c>
      <c r="H221">
        <v>216.83</v>
      </c>
      <c r="I221">
        <v>17</v>
      </c>
      <c r="J221">
        <v>3686.11</v>
      </c>
      <c r="K221" t="str">
        <f t="shared" si="15"/>
        <v>Dec</v>
      </c>
      <c r="L221" t="str">
        <f t="shared" si="16"/>
        <v>High</v>
      </c>
      <c r="M221" t="str">
        <f t="shared" si="17"/>
        <v>Excellent</v>
      </c>
      <c r="N221">
        <f t="shared" si="19"/>
        <v>1092.31</v>
      </c>
      <c r="O221" s="6">
        <v>0.1</v>
      </c>
      <c r="P221">
        <f t="shared" si="18"/>
        <v>3317.4990000000003</v>
      </c>
    </row>
    <row r="222" spans="1:16" x14ac:dyDescent="0.25">
      <c r="A222" t="s">
        <v>258</v>
      </c>
      <c r="B222" s="1">
        <v>45903</v>
      </c>
      <c r="C222" t="s">
        <v>38</v>
      </c>
      <c r="D222" t="s">
        <v>12</v>
      </c>
      <c r="E222" t="s">
        <v>45</v>
      </c>
      <c r="F222" t="s">
        <v>61</v>
      </c>
      <c r="G222" t="s">
        <v>20</v>
      </c>
      <c r="H222">
        <v>174.67</v>
      </c>
      <c r="I222">
        <v>13</v>
      </c>
      <c r="J222">
        <v>2270.71</v>
      </c>
      <c r="K222" t="str">
        <f t="shared" si="15"/>
        <v>Sep</v>
      </c>
      <c r="L222" t="str">
        <f t="shared" si="16"/>
        <v>High</v>
      </c>
      <c r="M222" t="str">
        <f t="shared" si="17"/>
        <v>Good</v>
      </c>
      <c r="N222">
        <f t="shared" si="19"/>
        <v>-1415.4</v>
      </c>
      <c r="O222" s="6">
        <v>0.1</v>
      </c>
      <c r="P222">
        <f t="shared" si="18"/>
        <v>2043.6390000000001</v>
      </c>
    </row>
    <row r="223" spans="1:16" x14ac:dyDescent="0.25">
      <c r="A223" t="s">
        <v>259</v>
      </c>
      <c r="B223" s="1">
        <v>45885</v>
      </c>
      <c r="C223" t="s">
        <v>11</v>
      </c>
      <c r="D223" t="s">
        <v>35</v>
      </c>
      <c r="E223" t="s">
        <v>18</v>
      </c>
      <c r="F223" t="s">
        <v>14</v>
      </c>
      <c r="G223" t="s">
        <v>15</v>
      </c>
      <c r="H223">
        <v>155.03</v>
      </c>
      <c r="I223">
        <v>3</v>
      </c>
      <c r="J223">
        <v>465.09</v>
      </c>
      <c r="K223" t="str">
        <f t="shared" si="15"/>
        <v>Aug</v>
      </c>
      <c r="L223" t="str">
        <f t="shared" si="16"/>
        <v>Low</v>
      </c>
      <c r="M223" t="str">
        <f t="shared" si="17"/>
        <v>Low</v>
      </c>
      <c r="N223">
        <f t="shared" si="19"/>
        <v>-1805.6200000000001</v>
      </c>
      <c r="O223" s="6">
        <v>0.1</v>
      </c>
      <c r="P223">
        <f t="shared" si="18"/>
        <v>418.58099999999996</v>
      </c>
    </row>
    <row r="224" spans="1:16" x14ac:dyDescent="0.25">
      <c r="A224" t="s">
        <v>260</v>
      </c>
      <c r="B224" s="1">
        <v>45722</v>
      </c>
      <c r="C224" t="s">
        <v>25</v>
      </c>
      <c r="D224" t="s">
        <v>12</v>
      </c>
      <c r="E224" t="s">
        <v>18</v>
      </c>
      <c r="F224" t="s">
        <v>42</v>
      </c>
      <c r="G224" t="s">
        <v>20</v>
      </c>
      <c r="H224">
        <v>50.61</v>
      </c>
      <c r="I224">
        <v>9</v>
      </c>
      <c r="J224">
        <v>455.49</v>
      </c>
      <c r="K224" t="str">
        <f t="shared" si="15"/>
        <v>Mar</v>
      </c>
      <c r="L224" t="str">
        <f t="shared" si="16"/>
        <v>Low</v>
      </c>
      <c r="M224" t="str">
        <f t="shared" si="17"/>
        <v>Low</v>
      </c>
      <c r="N224">
        <f t="shared" si="19"/>
        <v>-9.5999999999999659</v>
      </c>
      <c r="O224" s="6">
        <v>0.1</v>
      </c>
      <c r="P224">
        <f t="shared" si="18"/>
        <v>409.94100000000003</v>
      </c>
    </row>
    <row r="225" spans="1:16" x14ac:dyDescent="0.25">
      <c r="A225" t="s">
        <v>261</v>
      </c>
      <c r="B225" s="1">
        <v>45824</v>
      </c>
      <c r="C225" t="s">
        <v>25</v>
      </c>
      <c r="D225" t="s">
        <v>55</v>
      </c>
      <c r="E225" t="s">
        <v>13</v>
      </c>
      <c r="F225" t="s">
        <v>61</v>
      </c>
      <c r="G225" t="s">
        <v>20</v>
      </c>
      <c r="H225">
        <v>110.9</v>
      </c>
      <c r="I225">
        <v>13</v>
      </c>
      <c r="J225">
        <v>1441.7</v>
      </c>
      <c r="K225" t="str">
        <f t="shared" si="15"/>
        <v>Jun</v>
      </c>
      <c r="L225" t="str">
        <f t="shared" si="16"/>
        <v>Low</v>
      </c>
      <c r="M225" t="str">
        <f t="shared" si="17"/>
        <v>Average</v>
      </c>
      <c r="N225">
        <f t="shared" si="19"/>
        <v>986.21</v>
      </c>
      <c r="O225" s="6">
        <v>0.1</v>
      </c>
      <c r="P225">
        <f t="shared" si="18"/>
        <v>1297.53</v>
      </c>
    </row>
    <row r="226" spans="1:16" x14ac:dyDescent="0.25">
      <c r="A226" t="s">
        <v>262</v>
      </c>
      <c r="B226" s="1">
        <v>45967</v>
      </c>
      <c r="C226" t="s">
        <v>11</v>
      </c>
      <c r="D226" t="s">
        <v>12</v>
      </c>
      <c r="E226" t="s">
        <v>45</v>
      </c>
      <c r="F226" t="s">
        <v>39</v>
      </c>
      <c r="G226" t="s">
        <v>20</v>
      </c>
      <c r="H226">
        <v>88.34</v>
      </c>
      <c r="I226">
        <v>14</v>
      </c>
      <c r="J226">
        <v>1236.76</v>
      </c>
      <c r="K226" t="str">
        <f t="shared" si="15"/>
        <v>Nov</v>
      </c>
      <c r="L226" t="str">
        <f t="shared" si="16"/>
        <v>Low</v>
      </c>
      <c r="M226" t="str">
        <f t="shared" si="17"/>
        <v>Average</v>
      </c>
      <c r="N226">
        <f t="shared" si="19"/>
        <v>-204.94000000000005</v>
      </c>
      <c r="O226" s="6">
        <v>0.1</v>
      </c>
      <c r="P226">
        <f t="shared" si="18"/>
        <v>1113.0840000000001</v>
      </c>
    </row>
    <row r="227" spans="1:16" x14ac:dyDescent="0.25">
      <c r="A227" t="s">
        <v>263</v>
      </c>
      <c r="B227" s="1">
        <v>45991</v>
      </c>
      <c r="C227" t="s">
        <v>17</v>
      </c>
      <c r="D227" t="s">
        <v>26</v>
      </c>
      <c r="E227" t="s">
        <v>41</v>
      </c>
      <c r="F227" t="s">
        <v>61</v>
      </c>
      <c r="G227" t="s">
        <v>15</v>
      </c>
      <c r="H227">
        <v>83.68</v>
      </c>
      <c r="I227">
        <v>18</v>
      </c>
      <c r="J227">
        <v>1506.24</v>
      </c>
      <c r="K227" t="str">
        <f t="shared" si="15"/>
        <v>Nov</v>
      </c>
      <c r="L227" t="str">
        <f t="shared" si="16"/>
        <v>Low</v>
      </c>
      <c r="M227" t="str">
        <f t="shared" si="17"/>
        <v>Good</v>
      </c>
      <c r="N227">
        <f t="shared" si="19"/>
        <v>269.48</v>
      </c>
      <c r="O227" s="6">
        <v>0.1</v>
      </c>
      <c r="P227">
        <f t="shared" si="18"/>
        <v>1355.616</v>
      </c>
    </row>
    <row r="228" spans="1:16" x14ac:dyDescent="0.25">
      <c r="A228" t="s">
        <v>264</v>
      </c>
      <c r="B228" s="1">
        <v>45869</v>
      </c>
      <c r="C228" t="s">
        <v>38</v>
      </c>
      <c r="D228" t="s">
        <v>31</v>
      </c>
      <c r="E228" t="s">
        <v>41</v>
      </c>
      <c r="F228" t="s">
        <v>28</v>
      </c>
      <c r="G228" t="s">
        <v>15</v>
      </c>
      <c r="H228">
        <v>244.06</v>
      </c>
      <c r="I228">
        <v>11</v>
      </c>
      <c r="J228">
        <v>2684.66</v>
      </c>
      <c r="K228" t="str">
        <f t="shared" si="15"/>
        <v>Jul</v>
      </c>
      <c r="L228" t="str">
        <f t="shared" si="16"/>
        <v>High</v>
      </c>
      <c r="M228" t="str">
        <f t="shared" si="17"/>
        <v>Good</v>
      </c>
      <c r="N228">
        <f t="shared" si="19"/>
        <v>1178.4199999999998</v>
      </c>
      <c r="O228" s="6">
        <v>0.1</v>
      </c>
      <c r="P228">
        <f t="shared" si="18"/>
        <v>2416.194</v>
      </c>
    </row>
    <row r="229" spans="1:16" x14ac:dyDescent="0.25">
      <c r="A229" t="s">
        <v>265</v>
      </c>
      <c r="B229" s="1">
        <v>45818</v>
      </c>
      <c r="C229" t="s">
        <v>34</v>
      </c>
      <c r="D229" t="s">
        <v>12</v>
      </c>
      <c r="E229" t="s">
        <v>13</v>
      </c>
      <c r="F229" t="s">
        <v>32</v>
      </c>
      <c r="G229" t="s">
        <v>15</v>
      </c>
      <c r="H229">
        <v>116.48</v>
      </c>
      <c r="I229">
        <v>14</v>
      </c>
      <c r="J229">
        <v>1630.72</v>
      </c>
      <c r="K229" t="str">
        <f t="shared" si="15"/>
        <v>Jun</v>
      </c>
      <c r="L229" t="str">
        <f t="shared" si="16"/>
        <v>Low</v>
      </c>
      <c r="M229" t="str">
        <f t="shared" si="17"/>
        <v>Good</v>
      </c>
      <c r="N229">
        <f t="shared" si="19"/>
        <v>-1053.9399999999998</v>
      </c>
      <c r="O229" s="6">
        <v>0.1</v>
      </c>
      <c r="P229">
        <f t="shared" si="18"/>
        <v>1467.6480000000001</v>
      </c>
    </row>
    <row r="230" spans="1:16" x14ac:dyDescent="0.25">
      <c r="A230" t="s">
        <v>266</v>
      </c>
      <c r="B230" s="1">
        <v>46009</v>
      </c>
      <c r="C230" t="s">
        <v>11</v>
      </c>
      <c r="D230" t="s">
        <v>22</v>
      </c>
      <c r="E230" t="s">
        <v>45</v>
      </c>
      <c r="F230" t="s">
        <v>19</v>
      </c>
      <c r="G230" t="s">
        <v>36</v>
      </c>
      <c r="H230">
        <v>226.25</v>
      </c>
      <c r="I230">
        <v>16</v>
      </c>
      <c r="J230">
        <v>3620</v>
      </c>
      <c r="K230" t="str">
        <f t="shared" si="15"/>
        <v>Dec</v>
      </c>
      <c r="L230" t="str">
        <f t="shared" si="16"/>
        <v>High</v>
      </c>
      <c r="M230" t="str">
        <f t="shared" si="17"/>
        <v>Excellent</v>
      </c>
      <c r="N230">
        <f t="shared" si="19"/>
        <v>1989.28</v>
      </c>
      <c r="O230" s="6">
        <v>0.1</v>
      </c>
      <c r="P230">
        <f t="shared" si="18"/>
        <v>3258</v>
      </c>
    </row>
    <row r="231" spans="1:16" x14ac:dyDescent="0.25">
      <c r="A231" t="s">
        <v>267</v>
      </c>
      <c r="B231" s="1">
        <v>45707</v>
      </c>
      <c r="C231" t="s">
        <v>30</v>
      </c>
      <c r="D231" t="s">
        <v>55</v>
      </c>
      <c r="E231" t="s">
        <v>45</v>
      </c>
      <c r="F231" t="s">
        <v>42</v>
      </c>
      <c r="G231" t="s">
        <v>20</v>
      </c>
      <c r="H231">
        <v>168.85</v>
      </c>
      <c r="I231">
        <v>12</v>
      </c>
      <c r="J231">
        <v>2026.2</v>
      </c>
      <c r="K231" t="str">
        <f t="shared" si="15"/>
        <v>Feb</v>
      </c>
      <c r="L231" t="str">
        <f t="shared" si="16"/>
        <v>High</v>
      </c>
      <c r="M231" t="str">
        <f t="shared" si="17"/>
        <v>Good</v>
      </c>
      <c r="N231">
        <f t="shared" si="19"/>
        <v>-1593.8</v>
      </c>
      <c r="O231" s="6">
        <v>0.1</v>
      </c>
      <c r="P231">
        <f t="shared" si="18"/>
        <v>1823.5800000000002</v>
      </c>
    </row>
    <row r="232" spans="1:16" x14ac:dyDescent="0.25">
      <c r="A232" t="s">
        <v>268</v>
      </c>
      <c r="B232" s="1">
        <v>45945</v>
      </c>
      <c r="C232" t="s">
        <v>17</v>
      </c>
      <c r="D232" t="s">
        <v>22</v>
      </c>
      <c r="E232" t="s">
        <v>41</v>
      </c>
      <c r="F232" t="s">
        <v>32</v>
      </c>
      <c r="G232" t="s">
        <v>20</v>
      </c>
      <c r="H232">
        <v>204.86</v>
      </c>
      <c r="I232">
        <v>11</v>
      </c>
      <c r="J232">
        <v>2253.46</v>
      </c>
      <c r="K232" t="str">
        <f t="shared" si="15"/>
        <v>Oct</v>
      </c>
      <c r="L232" t="str">
        <f t="shared" si="16"/>
        <v>High</v>
      </c>
      <c r="M232" t="str">
        <f t="shared" si="17"/>
        <v>Good</v>
      </c>
      <c r="N232">
        <f t="shared" si="19"/>
        <v>227.26</v>
      </c>
      <c r="O232" s="6">
        <v>0.1</v>
      </c>
      <c r="P232">
        <f t="shared" si="18"/>
        <v>2028.114</v>
      </c>
    </row>
    <row r="233" spans="1:16" x14ac:dyDescent="0.25">
      <c r="A233" t="s">
        <v>269</v>
      </c>
      <c r="B233" s="1">
        <v>45874</v>
      </c>
      <c r="C233" t="s">
        <v>34</v>
      </c>
      <c r="D233" t="s">
        <v>55</v>
      </c>
      <c r="E233" t="s">
        <v>13</v>
      </c>
      <c r="F233" t="s">
        <v>32</v>
      </c>
      <c r="G233" t="s">
        <v>15</v>
      </c>
      <c r="H233">
        <v>140.58000000000001</v>
      </c>
      <c r="I233">
        <v>2</v>
      </c>
      <c r="J233">
        <v>281.16000000000003</v>
      </c>
      <c r="K233" t="str">
        <f t="shared" si="15"/>
        <v>Aug</v>
      </c>
      <c r="L233" t="str">
        <f t="shared" si="16"/>
        <v>Low</v>
      </c>
      <c r="M233" t="str">
        <f t="shared" si="17"/>
        <v>Low</v>
      </c>
      <c r="N233">
        <f t="shared" si="19"/>
        <v>-1972.3</v>
      </c>
      <c r="O233" s="6">
        <v>0.1</v>
      </c>
      <c r="P233">
        <f t="shared" si="18"/>
        <v>253.04400000000004</v>
      </c>
    </row>
    <row r="234" spans="1:16" x14ac:dyDescent="0.25">
      <c r="A234" t="s">
        <v>270</v>
      </c>
      <c r="B234" s="1">
        <v>45953</v>
      </c>
      <c r="C234" t="s">
        <v>30</v>
      </c>
      <c r="D234" t="s">
        <v>26</v>
      </c>
      <c r="E234" t="s">
        <v>27</v>
      </c>
      <c r="F234" t="s">
        <v>61</v>
      </c>
      <c r="G234" t="s">
        <v>15</v>
      </c>
      <c r="H234">
        <v>156.91999999999999</v>
      </c>
      <c r="I234">
        <v>17</v>
      </c>
      <c r="J234">
        <v>2667.64</v>
      </c>
      <c r="K234" t="str">
        <f t="shared" si="15"/>
        <v>Oct</v>
      </c>
      <c r="L234" t="str">
        <f t="shared" si="16"/>
        <v>High</v>
      </c>
      <c r="M234" t="str">
        <f t="shared" si="17"/>
        <v>Good</v>
      </c>
      <c r="N234">
        <f t="shared" si="19"/>
        <v>2386.48</v>
      </c>
      <c r="O234" s="6">
        <v>0.1</v>
      </c>
      <c r="P234">
        <f t="shared" si="18"/>
        <v>2400.8759999999997</v>
      </c>
    </row>
    <row r="235" spans="1:16" x14ac:dyDescent="0.25">
      <c r="A235" t="s">
        <v>271</v>
      </c>
      <c r="B235" s="1">
        <v>45713</v>
      </c>
      <c r="C235" t="s">
        <v>25</v>
      </c>
      <c r="D235" t="s">
        <v>35</v>
      </c>
      <c r="E235" t="s">
        <v>45</v>
      </c>
      <c r="F235" t="s">
        <v>39</v>
      </c>
      <c r="G235" t="s">
        <v>36</v>
      </c>
      <c r="H235">
        <v>138.35</v>
      </c>
      <c r="I235">
        <v>12</v>
      </c>
      <c r="J235">
        <v>1660.2</v>
      </c>
      <c r="K235" t="str">
        <f t="shared" si="15"/>
        <v>Feb</v>
      </c>
      <c r="L235" t="str">
        <f t="shared" si="16"/>
        <v>Low</v>
      </c>
      <c r="M235" t="str">
        <f t="shared" si="17"/>
        <v>Good</v>
      </c>
      <c r="N235">
        <f t="shared" si="19"/>
        <v>-1007.4399999999998</v>
      </c>
      <c r="O235" s="6">
        <v>0.1</v>
      </c>
      <c r="P235">
        <f t="shared" si="18"/>
        <v>1494.18</v>
      </c>
    </row>
    <row r="236" spans="1:16" x14ac:dyDescent="0.25">
      <c r="A236" t="s">
        <v>272</v>
      </c>
      <c r="B236" s="1">
        <v>45951</v>
      </c>
      <c r="C236" t="s">
        <v>38</v>
      </c>
      <c r="D236" t="s">
        <v>55</v>
      </c>
      <c r="E236" t="s">
        <v>18</v>
      </c>
      <c r="F236" t="s">
        <v>42</v>
      </c>
      <c r="G236" t="s">
        <v>20</v>
      </c>
      <c r="H236">
        <v>72.95</v>
      </c>
      <c r="I236">
        <v>8</v>
      </c>
      <c r="J236">
        <v>583.6</v>
      </c>
      <c r="K236" t="str">
        <f t="shared" si="15"/>
        <v>Oct</v>
      </c>
      <c r="L236" t="str">
        <f t="shared" si="16"/>
        <v>Low</v>
      </c>
      <c r="M236" t="str">
        <f t="shared" si="17"/>
        <v>Average</v>
      </c>
      <c r="N236">
        <f t="shared" si="19"/>
        <v>-1076.5999999999999</v>
      </c>
      <c r="O236" s="6">
        <v>0.1</v>
      </c>
      <c r="P236">
        <f t="shared" si="18"/>
        <v>525.24</v>
      </c>
    </row>
    <row r="237" spans="1:16" x14ac:dyDescent="0.25">
      <c r="A237" t="s">
        <v>273</v>
      </c>
      <c r="B237" s="1">
        <v>45987</v>
      </c>
      <c r="C237" t="s">
        <v>11</v>
      </c>
      <c r="D237" t="s">
        <v>55</v>
      </c>
      <c r="E237" t="s">
        <v>27</v>
      </c>
      <c r="F237" t="s">
        <v>39</v>
      </c>
      <c r="G237" t="s">
        <v>20</v>
      </c>
      <c r="H237">
        <v>188.94</v>
      </c>
      <c r="I237">
        <v>18</v>
      </c>
      <c r="J237">
        <v>3400.92</v>
      </c>
      <c r="K237" t="str">
        <f t="shared" si="15"/>
        <v>Nov</v>
      </c>
      <c r="L237" t="str">
        <f t="shared" si="16"/>
        <v>High</v>
      </c>
      <c r="M237" t="str">
        <f t="shared" si="17"/>
        <v>Excellent</v>
      </c>
      <c r="N237">
        <f t="shared" si="19"/>
        <v>2817.32</v>
      </c>
      <c r="O237" s="6">
        <v>0.1</v>
      </c>
      <c r="P237">
        <f t="shared" si="18"/>
        <v>3060.828</v>
      </c>
    </row>
    <row r="238" spans="1:16" x14ac:dyDescent="0.25">
      <c r="A238" t="s">
        <v>274</v>
      </c>
      <c r="B238" s="1">
        <v>45794</v>
      </c>
      <c r="C238" t="s">
        <v>30</v>
      </c>
      <c r="D238" t="s">
        <v>35</v>
      </c>
      <c r="E238" t="s">
        <v>27</v>
      </c>
      <c r="F238" t="s">
        <v>39</v>
      </c>
      <c r="G238" t="s">
        <v>36</v>
      </c>
      <c r="H238">
        <v>91.77</v>
      </c>
      <c r="I238">
        <v>1</v>
      </c>
      <c r="J238">
        <v>91.77</v>
      </c>
      <c r="K238" t="str">
        <f t="shared" si="15"/>
        <v>May</v>
      </c>
      <c r="L238" t="str">
        <f t="shared" si="16"/>
        <v>Low</v>
      </c>
      <c r="M238" t="str">
        <f t="shared" si="17"/>
        <v>Low</v>
      </c>
      <c r="N238">
        <f t="shared" si="19"/>
        <v>-3309.15</v>
      </c>
      <c r="O238" s="6">
        <v>0.1</v>
      </c>
      <c r="P238">
        <f t="shared" si="18"/>
        <v>82.593000000000004</v>
      </c>
    </row>
    <row r="239" spans="1:16" x14ac:dyDescent="0.25">
      <c r="A239" t="s">
        <v>275</v>
      </c>
      <c r="B239" s="1">
        <v>45831</v>
      </c>
      <c r="C239" t="s">
        <v>11</v>
      </c>
      <c r="D239" t="s">
        <v>26</v>
      </c>
      <c r="E239" t="s">
        <v>23</v>
      </c>
      <c r="F239" t="s">
        <v>42</v>
      </c>
      <c r="G239" t="s">
        <v>20</v>
      </c>
      <c r="H239">
        <v>35.35</v>
      </c>
      <c r="I239">
        <v>12</v>
      </c>
      <c r="J239">
        <v>424.2</v>
      </c>
      <c r="K239" t="str">
        <f t="shared" si="15"/>
        <v>Jun</v>
      </c>
      <c r="L239" t="str">
        <f t="shared" si="16"/>
        <v>Low</v>
      </c>
      <c r="M239" t="str">
        <f t="shared" si="17"/>
        <v>Low</v>
      </c>
      <c r="N239">
        <f t="shared" si="19"/>
        <v>332.43</v>
      </c>
      <c r="O239" s="6">
        <v>0.1</v>
      </c>
      <c r="P239">
        <f t="shared" si="18"/>
        <v>381.78</v>
      </c>
    </row>
    <row r="240" spans="1:16" x14ac:dyDescent="0.25">
      <c r="A240" t="s">
        <v>276</v>
      </c>
      <c r="B240" s="1">
        <v>45863</v>
      </c>
      <c r="C240" t="s">
        <v>30</v>
      </c>
      <c r="D240" t="s">
        <v>12</v>
      </c>
      <c r="E240" t="s">
        <v>27</v>
      </c>
      <c r="F240" t="s">
        <v>19</v>
      </c>
      <c r="G240" t="s">
        <v>15</v>
      </c>
      <c r="H240">
        <v>172</v>
      </c>
      <c r="I240">
        <v>3</v>
      </c>
      <c r="J240">
        <v>516</v>
      </c>
      <c r="K240" t="str">
        <f t="shared" si="15"/>
        <v>Jul</v>
      </c>
      <c r="L240" t="str">
        <f t="shared" si="16"/>
        <v>Low</v>
      </c>
      <c r="M240" t="str">
        <f t="shared" si="17"/>
        <v>Average</v>
      </c>
      <c r="N240">
        <f t="shared" si="19"/>
        <v>91.800000000000011</v>
      </c>
      <c r="O240" s="6">
        <v>0.1</v>
      </c>
      <c r="P240">
        <f t="shared" si="18"/>
        <v>464.40000000000003</v>
      </c>
    </row>
    <row r="241" spans="1:16" x14ac:dyDescent="0.25">
      <c r="A241" t="s">
        <v>277</v>
      </c>
      <c r="B241" s="1">
        <v>45929</v>
      </c>
      <c r="C241" t="s">
        <v>38</v>
      </c>
      <c r="D241" t="s">
        <v>31</v>
      </c>
      <c r="E241" t="s">
        <v>41</v>
      </c>
      <c r="F241" t="s">
        <v>32</v>
      </c>
      <c r="G241" t="s">
        <v>15</v>
      </c>
      <c r="H241">
        <v>68.959999999999994</v>
      </c>
      <c r="I241">
        <v>7</v>
      </c>
      <c r="J241">
        <v>482.72</v>
      </c>
      <c r="K241" t="str">
        <f t="shared" si="15"/>
        <v>Sep</v>
      </c>
      <c r="L241" t="str">
        <f t="shared" si="16"/>
        <v>Low</v>
      </c>
      <c r="M241" t="str">
        <f t="shared" si="17"/>
        <v>Low</v>
      </c>
      <c r="N241">
        <f t="shared" si="19"/>
        <v>-33.279999999999973</v>
      </c>
      <c r="O241" s="6">
        <v>0.1</v>
      </c>
      <c r="P241">
        <f t="shared" si="18"/>
        <v>434.44800000000004</v>
      </c>
    </row>
    <row r="242" spans="1:16" x14ac:dyDescent="0.25">
      <c r="A242" t="s">
        <v>278</v>
      </c>
      <c r="B242" s="1">
        <v>45847</v>
      </c>
      <c r="C242" t="s">
        <v>17</v>
      </c>
      <c r="D242" t="s">
        <v>35</v>
      </c>
      <c r="E242" t="s">
        <v>18</v>
      </c>
      <c r="F242" t="s">
        <v>42</v>
      </c>
      <c r="G242" t="s">
        <v>15</v>
      </c>
      <c r="H242">
        <v>236.9</v>
      </c>
      <c r="I242">
        <v>10</v>
      </c>
      <c r="J242">
        <v>2369</v>
      </c>
      <c r="K242" t="str">
        <f t="shared" si="15"/>
        <v>Jul</v>
      </c>
      <c r="L242" t="str">
        <f t="shared" si="16"/>
        <v>High</v>
      </c>
      <c r="M242" t="str">
        <f t="shared" si="17"/>
        <v>Good</v>
      </c>
      <c r="N242">
        <f t="shared" si="19"/>
        <v>1886.28</v>
      </c>
      <c r="O242" s="6">
        <v>0.1</v>
      </c>
      <c r="P242">
        <f t="shared" si="18"/>
        <v>2132.1</v>
      </c>
    </row>
    <row r="243" spans="1:16" x14ac:dyDescent="0.25">
      <c r="A243" t="s">
        <v>279</v>
      </c>
      <c r="B243" s="1">
        <v>45684</v>
      </c>
      <c r="C243" t="s">
        <v>30</v>
      </c>
      <c r="D243" t="s">
        <v>55</v>
      </c>
      <c r="E243" t="s">
        <v>45</v>
      </c>
      <c r="F243" t="s">
        <v>28</v>
      </c>
      <c r="G243" t="s">
        <v>15</v>
      </c>
      <c r="H243">
        <v>239.86</v>
      </c>
      <c r="I243">
        <v>5</v>
      </c>
      <c r="J243">
        <v>1199.3</v>
      </c>
      <c r="K243" t="str">
        <f t="shared" si="15"/>
        <v>Jan</v>
      </c>
      <c r="L243" t="str">
        <f t="shared" si="16"/>
        <v>Low</v>
      </c>
      <c r="M243" t="str">
        <f t="shared" si="17"/>
        <v>Average</v>
      </c>
      <c r="N243">
        <f t="shared" si="19"/>
        <v>-1169.7</v>
      </c>
      <c r="O243" s="6">
        <v>0.1</v>
      </c>
      <c r="P243">
        <f t="shared" si="18"/>
        <v>1079.3699999999999</v>
      </c>
    </row>
    <row r="244" spans="1:16" x14ac:dyDescent="0.25">
      <c r="A244" t="s">
        <v>280</v>
      </c>
      <c r="B244" s="1">
        <v>45797</v>
      </c>
      <c r="C244" t="s">
        <v>17</v>
      </c>
      <c r="D244" t="s">
        <v>31</v>
      </c>
      <c r="E244" t="s">
        <v>41</v>
      </c>
      <c r="F244" t="s">
        <v>42</v>
      </c>
      <c r="G244" t="s">
        <v>36</v>
      </c>
      <c r="H244">
        <v>231.27</v>
      </c>
      <c r="I244">
        <v>15</v>
      </c>
      <c r="J244">
        <v>3469.05</v>
      </c>
      <c r="K244" t="str">
        <f t="shared" si="15"/>
        <v>May</v>
      </c>
      <c r="L244" t="str">
        <f t="shared" si="16"/>
        <v>High</v>
      </c>
      <c r="M244" t="str">
        <f t="shared" si="17"/>
        <v>Excellent</v>
      </c>
      <c r="N244">
        <f t="shared" si="19"/>
        <v>2269.75</v>
      </c>
      <c r="O244" s="6">
        <v>0.1</v>
      </c>
      <c r="P244">
        <f t="shared" si="18"/>
        <v>3122.1450000000004</v>
      </c>
    </row>
    <row r="245" spans="1:16" x14ac:dyDescent="0.25">
      <c r="A245" t="s">
        <v>281</v>
      </c>
      <c r="B245" s="1">
        <v>45870</v>
      </c>
      <c r="C245" t="s">
        <v>30</v>
      </c>
      <c r="D245" t="s">
        <v>55</v>
      </c>
      <c r="E245" t="s">
        <v>45</v>
      </c>
      <c r="F245" t="s">
        <v>32</v>
      </c>
      <c r="G245" t="s">
        <v>36</v>
      </c>
      <c r="H245">
        <v>111.43</v>
      </c>
      <c r="I245">
        <v>9</v>
      </c>
      <c r="J245">
        <v>1002.87</v>
      </c>
      <c r="K245" t="str">
        <f t="shared" si="15"/>
        <v>Aug</v>
      </c>
      <c r="L245" t="str">
        <f t="shared" si="16"/>
        <v>Low</v>
      </c>
      <c r="M245" t="str">
        <f t="shared" si="17"/>
        <v>Average</v>
      </c>
      <c r="N245">
        <f t="shared" si="19"/>
        <v>-2466.1800000000003</v>
      </c>
      <c r="O245" s="6">
        <v>0.1</v>
      </c>
      <c r="P245">
        <f t="shared" si="18"/>
        <v>902.58299999999997</v>
      </c>
    </row>
    <row r="246" spans="1:16" x14ac:dyDescent="0.25">
      <c r="A246" t="s">
        <v>282</v>
      </c>
      <c r="B246" s="1">
        <v>45714</v>
      </c>
      <c r="C246" t="s">
        <v>17</v>
      </c>
      <c r="D246" t="s">
        <v>12</v>
      </c>
      <c r="E246" t="s">
        <v>18</v>
      </c>
      <c r="F246" t="s">
        <v>61</v>
      </c>
      <c r="G246" t="s">
        <v>20</v>
      </c>
      <c r="H246">
        <v>33.4</v>
      </c>
      <c r="I246">
        <v>10</v>
      </c>
      <c r="J246">
        <v>334</v>
      </c>
      <c r="K246" t="str">
        <f t="shared" si="15"/>
        <v>Feb</v>
      </c>
      <c r="L246" t="str">
        <f t="shared" si="16"/>
        <v>Low</v>
      </c>
      <c r="M246" t="str">
        <f t="shared" si="17"/>
        <v>Low</v>
      </c>
      <c r="N246">
        <f t="shared" si="19"/>
        <v>-668.87</v>
      </c>
      <c r="O246" s="6">
        <v>0.1</v>
      </c>
      <c r="P246">
        <f t="shared" si="18"/>
        <v>300.60000000000002</v>
      </c>
    </row>
    <row r="247" spans="1:16" x14ac:dyDescent="0.25">
      <c r="A247" t="s">
        <v>283</v>
      </c>
      <c r="B247" s="1">
        <v>45999</v>
      </c>
      <c r="C247" t="s">
        <v>11</v>
      </c>
      <c r="D247" t="s">
        <v>26</v>
      </c>
      <c r="E247" t="s">
        <v>41</v>
      </c>
      <c r="F247" t="s">
        <v>42</v>
      </c>
      <c r="G247" t="s">
        <v>15</v>
      </c>
      <c r="H247">
        <v>234.23</v>
      </c>
      <c r="I247">
        <v>10</v>
      </c>
      <c r="J247">
        <v>2342.3000000000002</v>
      </c>
      <c r="K247" t="str">
        <f t="shared" si="15"/>
        <v>Dec</v>
      </c>
      <c r="L247" t="str">
        <f t="shared" si="16"/>
        <v>High</v>
      </c>
      <c r="M247" t="str">
        <f t="shared" si="17"/>
        <v>Good</v>
      </c>
      <c r="N247">
        <f t="shared" si="19"/>
        <v>2008.3000000000002</v>
      </c>
      <c r="O247" s="6">
        <v>0.1</v>
      </c>
      <c r="P247">
        <f t="shared" si="18"/>
        <v>2108.0700000000002</v>
      </c>
    </row>
    <row r="248" spans="1:16" x14ac:dyDescent="0.25">
      <c r="A248" t="s">
        <v>284</v>
      </c>
      <c r="B248" s="1">
        <v>45661</v>
      </c>
      <c r="C248" t="s">
        <v>34</v>
      </c>
      <c r="D248" t="s">
        <v>26</v>
      </c>
      <c r="E248" t="s">
        <v>23</v>
      </c>
      <c r="F248" t="s">
        <v>39</v>
      </c>
      <c r="G248" t="s">
        <v>36</v>
      </c>
      <c r="H248">
        <v>124.2</v>
      </c>
      <c r="I248">
        <v>7</v>
      </c>
      <c r="J248">
        <v>869.4</v>
      </c>
      <c r="K248" t="str">
        <f t="shared" si="15"/>
        <v>Jan</v>
      </c>
      <c r="L248" t="str">
        <f t="shared" si="16"/>
        <v>Low</v>
      </c>
      <c r="M248" t="str">
        <f t="shared" si="17"/>
        <v>Average</v>
      </c>
      <c r="N248">
        <f t="shared" si="19"/>
        <v>-1472.9</v>
      </c>
      <c r="O248" s="6">
        <v>0.1</v>
      </c>
      <c r="P248">
        <f t="shared" si="18"/>
        <v>782.46</v>
      </c>
    </row>
    <row r="249" spans="1:16" x14ac:dyDescent="0.25">
      <c r="A249" t="s">
        <v>285</v>
      </c>
      <c r="B249" s="1">
        <v>45806</v>
      </c>
      <c r="C249" t="s">
        <v>11</v>
      </c>
      <c r="D249" t="s">
        <v>22</v>
      </c>
      <c r="E249" t="s">
        <v>41</v>
      </c>
      <c r="F249" t="s">
        <v>28</v>
      </c>
      <c r="G249" t="s">
        <v>36</v>
      </c>
      <c r="H249">
        <v>242.66</v>
      </c>
      <c r="I249">
        <v>11</v>
      </c>
      <c r="J249">
        <v>2669.26</v>
      </c>
      <c r="K249" t="str">
        <f t="shared" si="15"/>
        <v>May</v>
      </c>
      <c r="L249" t="str">
        <f t="shared" si="16"/>
        <v>High</v>
      </c>
      <c r="M249" t="str">
        <f t="shared" si="17"/>
        <v>Good</v>
      </c>
      <c r="N249">
        <f t="shared" si="19"/>
        <v>1799.8600000000001</v>
      </c>
      <c r="O249" s="6">
        <v>0.1</v>
      </c>
      <c r="P249">
        <f t="shared" si="18"/>
        <v>2402.3340000000003</v>
      </c>
    </row>
    <row r="250" spans="1:16" x14ac:dyDescent="0.25">
      <c r="A250" t="s">
        <v>286</v>
      </c>
      <c r="B250" s="1">
        <v>45747</v>
      </c>
      <c r="C250" t="s">
        <v>38</v>
      </c>
      <c r="D250" t="s">
        <v>55</v>
      </c>
      <c r="E250" t="s">
        <v>27</v>
      </c>
      <c r="F250" t="s">
        <v>14</v>
      </c>
      <c r="G250" t="s">
        <v>20</v>
      </c>
      <c r="H250">
        <v>242</v>
      </c>
      <c r="I250">
        <v>5</v>
      </c>
      <c r="J250">
        <v>1210</v>
      </c>
      <c r="K250" t="str">
        <f t="shared" si="15"/>
        <v>Mar</v>
      </c>
      <c r="L250" t="str">
        <f t="shared" si="16"/>
        <v>Low</v>
      </c>
      <c r="M250" t="str">
        <f t="shared" si="17"/>
        <v>Average</v>
      </c>
      <c r="N250">
        <f t="shared" si="19"/>
        <v>-1459.2600000000002</v>
      </c>
      <c r="O250" s="6">
        <v>0.1</v>
      </c>
      <c r="P250">
        <f t="shared" si="18"/>
        <v>1089</v>
      </c>
    </row>
    <row r="251" spans="1:16" x14ac:dyDescent="0.25">
      <c r="A251" t="s">
        <v>287</v>
      </c>
      <c r="B251" s="1">
        <v>45944</v>
      </c>
      <c r="C251" t="s">
        <v>11</v>
      </c>
      <c r="D251" t="s">
        <v>31</v>
      </c>
      <c r="E251" t="s">
        <v>27</v>
      </c>
      <c r="F251" t="s">
        <v>19</v>
      </c>
      <c r="G251" t="s">
        <v>36</v>
      </c>
      <c r="H251">
        <v>217.66</v>
      </c>
      <c r="I251">
        <v>12</v>
      </c>
      <c r="J251">
        <v>2611.92</v>
      </c>
      <c r="K251" t="str">
        <f t="shared" si="15"/>
        <v>Oct</v>
      </c>
      <c r="L251" t="str">
        <f t="shared" si="16"/>
        <v>High</v>
      </c>
      <c r="M251" t="str">
        <f t="shared" si="17"/>
        <v>Good</v>
      </c>
      <c r="N251">
        <f t="shared" si="19"/>
        <v>1401.92</v>
      </c>
      <c r="O251" s="6">
        <v>0.1</v>
      </c>
      <c r="P251">
        <f t="shared" si="18"/>
        <v>2350.7280000000001</v>
      </c>
    </row>
    <row r="252" spans="1:16" x14ac:dyDescent="0.25">
      <c r="A252" t="s">
        <v>288</v>
      </c>
      <c r="B252" s="1">
        <v>45667</v>
      </c>
      <c r="C252" t="s">
        <v>11</v>
      </c>
      <c r="D252" t="s">
        <v>35</v>
      </c>
      <c r="E252" t="s">
        <v>18</v>
      </c>
      <c r="F252" t="s">
        <v>61</v>
      </c>
      <c r="G252" t="s">
        <v>20</v>
      </c>
      <c r="H252">
        <v>94.78</v>
      </c>
      <c r="I252">
        <v>15</v>
      </c>
      <c r="J252">
        <v>1421.7</v>
      </c>
      <c r="K252" t="str">
        <f t="shared" si="15"/>
        <v>Jan</v>
      </c>
      <c r="L252" t="str">
        <f t="shared" si="16"/>
        <v>Low</v>
      </c>
      <c r="M252" t="str">
        <f t="shared" si="17"/>
        <v>Average</v>
      </c>
      <c r="N252">
        <f t="shared" si="19"/>
        <v>-1190.22</v>
      </c>
      <c r="O252" s="6">
        <v>0.1</v>
      </c>
      <c r="P252">
        <f t="shared" si="18"/>
        <v>1279.53</v>
      </c>
    </row>
    <row r="253" spans="1:16" x14ac:dyDescent="0.25">
      <c r="A253" t="s">
        <v>289</v>
      </c>
      <c r="B253" s="1">
        <v>45865</v>
      </c>
      <c r="C253" t="s">
        <v>34</v>
      </c>
      <c r="D253" t="s">
        <v>22</v>
      </c>
      <c r="E253" t="s">
        <v>41</v>
      </c>
      <c r="F253" t="s">
        <v>19</v>
      </c>
      <c r="G253" t="s">
        <v>36</v>
      </c>
      <c r="H253">
        <v>114.72</v>
      </c>
      <c r="I253">
        <v>14</v>
      </c>
      <c r="J253">
        <v>1606.08</v>
      </c>
      <c r="K253" t="str">
        <f t="shared" si="15"/>
        <v>Jul</v>
      </c>
      <c r="L253" t="str">
        <f t="shared" si="16"/>
        <v>Low</v>
      </c>
      <c r="M253" t="str">
        <f t="shared" si="17"/>
        <v>Good</v>
      </c>
      <c r="N253">
        <f t="shared" si="19"/>
        <v>184.37999999999988</v>
      </c>
      <c r="O253" s="6">
        <v>0.1</v>
      </c>
      <c r="P253">
        <f t="shared" si="18"/>
        <v>1445.472</v>
      </c>
    </row>
    <row r="254" spans="1:16" x14ac:dyDescent="0.25">
      <c r="A254" t="s">
        <v>290</v>
      </c>
      <c r="B254" s="1">
        <v>45745</v>
      </c>
      <c r="C254" t="s">
        <v>38</v>
      </c>
      <c r="D254" t="s">
        <v>12</v>
      </c>
      <c r="E254" t="s">
        <v>13</v>
      </c>
      <c r="F254" t="s">
        <v>19</v>
      </c>
      <c r="G254" t="s">
        <v>36</v>
      </c>
      <c r="H254">
        <v>217.25</v>
      </c>
      <c r="I254">
        <v>20</v>
      </c>
      <c r="J254">
        <v>4345</v>
      </c>
      <c r="K254" t="str">
        <f t="shared" si="15"/>
        <v>Mar</v>
      </c>
      <c r="L254" t="str">
        <f t="shared" si="16"/>
        <v>High</v>
      </c>
      <c r="M254" t="str">
        <f t="shared" si="17"/>
        <v>Excellent</v>
      </c>
      <c r="N254">
        <f t="shared" si="19"/>
        <v>2738.92</v>
      </c>
      <c r="O254" s="6">
        <v>0.1</v>
      </c>
      <c r="P254">
        <f t="shared" si="18"/>
        <v>3910.5</v>
      </c>
    </row>
    <row r="255" spans="1:16" x14ac:dyDescent="0.25">
      <c r="A255" t="s">
        <v>291</v>
      </c>
      <c r="B255" s="1">
        <v>45712</v>
      </c>
      <c r="C255" t="s">
        <v>38</v>
      </c>
      <c r="D255" t="s">
        <v>55</v>
      </c>
      <c r="E255" t="s">
        <v>41</v>
      </c>
      <c r="F255" t="s">
        <v>42</v>
      </c>
      <c r="G255" t="s">
        <v>15</v>
      </c>
      <c r="H255">
        <v>99.72</v>
      </c>
      <c r="I255">
        <v>8</v>
      </c>
      <c r="J255">
        <v>797.76</v>
      </c>
      <c r="K255" t="str">
        <f t="shared" si="15"/>
        <v>Feb</v>
      </c>
      <c r="L255" t="str">
        <f t="shared" si="16"/>
        <v>Low</v>
      </c>
      <c r="M255" t="str">
        <f t="shared" si="17"/>
        <v>Average</v>
      </c>
      <c r="N255">
        <f t="shared" si="19"/>
        <v>-3547.24</v>
      </c>
      <c r="O255" s="6">
        <v>0.1</v>
      </c>
      <c r="P255">
        <f t="shared" si="18"/>
        <v>717.98400000000004</v>
      </c>
    </row>
    <row r="256" spans="1:16" x14ac:dyDescent="0.25">
      <c r="A256" t="s">
        <v>292</v>
      </c>
      <c r="B256" s="1">
        <v>45860</v>
      </c>
      <c r="C256" t="s">
        <v>17</v>
      </c>
      <c r="D256" t="s">
        <v>35</v>
      </c>
      <c r="E256" t="s">
        <v>23</v>
      </c>
      <c r="F256" t="s">
        <v>32</v>
      </c>
      <c r="G256" t="s">
        <v>15</v>
      </c>
      <c r="H256">
        <v>67.290000000000006</v>
      </c>
      <c r="I256">
        <v>10</v>
      </c>
      <c r="J256">
        <v>672.9</v>
      </c>
      <c r="K256" t="str">
        <f t="shared" si="15"/>
        <v>Jul</v>
      </c>
      <c r="L256" t="str">
        <f t="shared" si="16"/>
        <v>Low</v>
      </c>
      <c r="M256" t="str">
        <f t="shared" si="17"/>
        <v>Average</v>
      </c>
      <c r="N256">
        <f t="shared" si="19"/>
        <v>-124.86000000000001</v>
      </c>
      <c r="O256" s="6">
        <v>0.1</v>
      </c>
      <c r="P256">
        <f t="shared" si="18"/>
        <v>605.61</v>
      </c>
    </row>
    <row r="257" spans="1:16" x14ac:dyDescent="0.25">
      <c r="A257" t="s">
        <v>293</v>
      </c>
      <c r="B257" s="1">
        <v>45697</v>
      </c>
      <c r="C257" t="s">
        <v>17</v>
      </c>
      <c r="D257" t="s">
        <v>22</v>
      </c>
      <c r="E257" t="s">
        <v>18</v>
      </c>
      <c r="F257" t="s">
        <v>42</v>
      </c>
      <c r="G257" t="s">
        <v>15</v>
      </c>
      <c r="H257">
        <v>152.5</v>
      </c>
      <c r="I257">
        <v>17</v>
      </c>
      <c r="J257">
        <v>2592.5</v>
      </c>
      <c r="K257" t="str">
        <f t="shared" si="15"/>
        <v>Feb</v>
      </c>
      <c r="L257" t="str">
        <f t="shared" si="16"/>
        <v>High</v>
      </c>
      <c r="M257" t="str">
        <f t="shared" si="17"/>
        <v>Good</v>
      </c>
      <c r="N257">
        <f t="shared" si="19"/>
        <v>1919.6</v>
      </c>
      <c r="O257" s="6">
        <v>0.1</v>
      </c>
      <c r="P257">
        <f t="shared" si="18"/>
        <v>2333.25</v>
      </c>
    </row>
    <row r="258" spans="1:16" x14ac:dyDescent="0.25">
      <c r="A258" t="s">
        <v>294</v>
      </c>
      <c r="B258" s="1">
        <v>45836</v>
      </c>
      <c r="C258" t="s">
        <v>17</v>
      </c>
      <c r="D258" t="s">
        <v>12</v>
      </c>
      <c r="E258" t="s">
        <v>23</v>
      </c>
      <c r="F258" t="s">
        <v>14</v>
      </c>
      <c r="G258" t="s">
        <v>15</v>
      </c>
      <c r="H258">
        <v>235.95</v>
      </c>
      <c r="I258">
        <v>12</v>
      </c>
      <c r="J258">
        <v>2831.4</v>
      </c>
      <c r="K258" t="str">
        <f t="shared" ref="K258:K321" si="20">TEXT(B258,"MMM")</f>
        <v>Jun</v>
      </c>
      <c r="L258" t="str">
        <f t="shared" ref="L258:L321" si="21">IF(J258&gt;2000,"High","Low")</f>
        <v>High</v>
      </c>
      <c r="M258" t="str">
        <f t="shared" ref="M258:M321" si="22">IF(J258&gt;3000,"Excellent",
 IF(J258&gt;1500,"Good",
 IF(J258&gt;500,"Average","Low")))</f>
        <v>Good</v>
      </c>
      <c r="N258">
        <f t="shared" si="19"/>
        <v>238.90000000000009</v>
      </c>
      <c r="O258" s="6">
        <v>0.1</v>
      </c>
      <c r="P258">
        <f t="shared" ref="P258:P321" si="23">J258*(1-O258)</f>
        <v>2548.2600000000002</v>
      </c>
    </row>
    <row r="259" spans="1:16" x14ac:dyDescent="0.25">
      <c r="A259" t="s">
        <v>295</v>
      </c>
      <c r="B259" s="1">
        <v>45732</v>
      </c>
      <c r="C259" t="s">
        <v>30</v>
      </c>
      <c r="D259" t="s">
        <v>26</v>
      </c>
      <c r="E259" t="s">
        <v>18</v>
      </c>
      <c r="F259" t="s">
        <v>14</v>
      </c>
      <c r="G259" t="s">
        <v>20</v>
      </c>
      <c r="H259">
        <v>183.13</v>
      </c>
      <c r="I259">
        <v>9</v>
      </c>
      <c r="J259">
        <v>1648.17</v>
      </c>
      <c r="K259" t="str">
        <f t="shared" si="20"/>
        <v>Mar</v>
      </c>
      <c r="L259" t="str">
        <f t="shared" si="21"/>
        <v>Low</v>
      </c>
      <c r="M259" t="str">
        <f t="shared" si="22"/>
        <v>Good</v>
      </c>
      <c r="N259">
        <f t="shared" ref="N259:N322" si="24">J259-J258</f>
        <v>-1183.23</v>
      </c>
      <c r="O259" s="6">
        <v>0.1</v>
      </c>
      <c r="P259">
        <f t="shared" si="23"/>
        <v>1483.3530000000001</v>
      </c>
    </row>
    <row r="260" spans="1:16" x14ac:dyDescent="0.25">
      <c r="A260" t="s">
        <v>296</v>
      </c>
      <c r="B260" s="1">
        <v>45696</v>
      </c>
      <c r="C260" t="s">
        <v>17</v>
      </c>
      <c r="D260" t="s">
        <v>31</v>
      </c>
      <c r="E260" t="s">
        <v>41</v>
      </c>
      <c r="F260" t="s">
        <v>39</v>
      </c>
      <c r="G260" t="s">
        <v>20</v>
      </c>
      <c r="H260">
        <v>155.41</v>
      </c>
      <c r="I260">
        <v>6</v>
      </c>
      <c r="J260">
        <v>932.46</v>
      </c>
      <c r="K260" t="str">
        <f t="shared" si="20"/>
        <v>Feb</v>
      </c>
      <c r="L260" t="str">
        <f t="shared" si="21"/>
        <v>Low</v>
      </c>
      <c r="M260" t="str">
        <f t="shared" si="22"/>
        <v>Average</v>
      </c>
      <c r="N260">
        <f t="shared" si="24"/>
        <v>-715.71</v>
      </c>
      <c r="O260" s="6">
        <v>0.1</v>
      </c>
      <c r="P260">
        <f t="shared" si="23"/>
        <v>839.21400000000006</v>
      </c>
    </row>
    <row r="261" spans="1:16" x14ac:dyDescent="0.25">
      <c r="A261" t="s">
        <v>297</v>
      </c>
      <c r="B261" s="1">
        <v>45954</v>
      </c>
      <c r="C261" t="s">
        <v>17</v>
      </c>
      <c r="D261" t="s">
        <v>55</v>
      </c>
      <c r="E261" t="s">
        <v>27</v>
      </c>
      <c r="F261" t="s">
        <v>28</v>
      </c>
      <c r="G261" t="s">
        <v>20</v>
      </c>
      <c r="H261">
        <v>51.38</v>
      </c>
      <c r="I261">
        <v>15</v>
      </c>
      <c r="J261">
        <v>770.7</v>
      </c>
      <c r="K261" t="str">
        <f t="shared" si="20"/>
        <v>Oct</v>
      </c>
      <c r="L261" t="str">
        <f t="shared" si="21"/>
        <v>Low</v>
      </c>
      <c r="M261" t="str">
        <f t="shared" si="22"/>
        <v>Average</v>
      </c>
      <c r="N261">
        <f t="shared" si="24"/>
        <v>-161.76</v>
      </c>
      <c r="O261" s="6">
        <v>0.1</v>
      </c>
      <c r="P261">
        <f t="shared" si="23"/>
        <v>693.63000000000011</v>
      </c>
    </row>
    <row r="262" spans="1:16" x14ac:dyDescent="0.25">
      <c r="A262" t="s">
        <v>298</v>
      </c>
      <c r="B262" s="1">
        <v>45823</v>
      </c>
      <c r="C262" t="s">
        <v>30</v>
      </c>
      <c r="D262" t="s">
        <v>31</v>
      </c>
      <c r="E262" t="s">
        <v>45</v>
      </c>
      <c r="F262" t="s">
        <v>61</v>
      </c>
      <c r="G262" t="s">
        <v>36</v>
      </c>
      <c r="H262">
        <v>165.3</v>
      </c>
      <c r="I262">
        <v>11</v>
      </c>
      <c r="J262">
        <v>1818.3</v>
      </c>
      <c r="K262" t="str">
        <f t="shared" si="20"/>
        <v>Jun</v>
      </c>
      <c r="L262" t="str">
        <f t="shared" si="21"/>
        <v>Low</v>
      </c>
      <c r="M262" t="str">
        <f t="shared" si="22"/>
        <v>Good</v>
      </c>
      <c r="N262">
        <f t="shared" si="24"/>
        <v>1047.5999999999999</v>
      </c>
      <c r="O262" s="6">
        <v>0.1</v>
      </c>
      <c r="P262">
        <f t="shared" si="23"/>
        <v>1636.47</v>
      </c>
    </row>
    <row r="263" spans="1:16" x14ac:dyDescent="0.25">
      <c r="A263" t="s">
        <v>299</v>
      </c>
      <c r="B263" s="1">
        <v>45981</v>
      </c>
      <c r="C263" t="s">
        <v>34</v>
      </c>
      <c r="D263" t="s">
        <v>55</v>
      </c>
      <c r="E263" t="s">
        <v>45</v>
      </c>
      <c r="F263" t="s">
        <v>32</v>
      </c>
      <c r="G263" t="s">
        <v>20</v>
      </c>
      <c r="H263">
        <v>247.81</v>
      </c>
      <c r="I263">
        <v>10</v>
      </c>
      <c r="J263">
        <v>2478.1</v>
      </c>
      <c r="K263" t="str">
        <f t="shared" si="20"/>
        <v>Nov</v>
      </c>
      <c r="L263" t="str">
        <f t="shared" si="21"/>
        <v>High</v>
      </c>
      <c r="M263" t="str">
        <f t="shared" si="22"/>
        <v>Good</v>
      </c>
      <c r="N263">
        <f t="shared" si="24"/>
        <v>659.8</v>
      </c>
      <c r="O263" s="6">
        <v>0.1</v>
      </c>
      <c r="P263">
        <f t="shared" si="23"/>
        <v>2230.29</v>
      </c>
    </row>
    <row r="264" spans="1:16" x14ac:dyDescent="0.25">
      <c r="A264" t="s">
        <v>300</v>
      </c>
      <c r="B264" s="1">
        <v>45695</v>
      </c>
      <c r="C264" t="s">
        <v>38</v>
      </c>
      <c r="D264" t="s">
        <v>31</v>
      </c>
      <c r="E264" t="s">
        <v>45</v>
      </c>
      <c r="F264" t="s">
        <v>19</v>
      </c>
      <c r="G264" t="s">
        <v>36</v>
      </c>
      <c r="H264">
        <v>60.82</v>
      </c>
      <c r="I264">
        <v>10</v>
      </c>
      <c r="J264">
        <v>608.20000000000005</v>
      </c>
      <c r="K264" t="str">
        <f t="shared" si="20"/>
        <v>Feb</v>
      </c>
      <c r="L264" t="str">
        <f t="shared" si="21"/>
        <v>Low</v>
      </c>
      <c r="M264" t="str">
        <f t="shared" si="22"/>
        <v>Average</v>
      </c>
      <c r="N264">
        <f t="shared" si="24"/>
        <v>-1869.8999999999999</v>
      </c>
      <c r="O264" s="6">
        <v>0.1</v>
      </c>
      <c r="P264">
        <f t="shared" si="23"/>
        <v>547.38000000000011</v>
      </c>
    </row>
    <row r="265" spans="1:16" x14ac:dyDescent="0.25">
      <c r="A265" t="s">
        <v>301</v>
      </c>
      <c r="B265" s="1">
        <v>45804</v>
      </c>
      <c r="C265" t="s">
        <v>17</v>
      </c>
      <c r="D265" t="s">
        <v>22</v>
      </c>
      <c r="E265" t="s">
        <v>18</v>
      </c>
      <c r="F265" t="s">
        <v>42</v>
      </c>
      <c r="G265" t="s">
        <v>20</v>
      </c>
      <c r="H265">
        <v>144.03</v>
      </c>
      <c r="I265">
        <v>3</v>
      </c>
      <c r="J265">
        <v>432.09</v>
      </c>
      <c r="K265" t="str">
        <f t="shared" si="20"/>
        <v>May</v>
      </c>
      <c r="L265" t="str">
        <f t="shared" si="21"/>
        <v>Low</v>
      </c>
      <c r="M265" t="str">
        <f t="shared" si="22"/>
        <v>Low</v>
      </c>
      <c r="N265">
        <f t="shared" si="24"/>
        <v>-176.11000000000007</v>
      </c>
      <c r="O265" s="6">
        <v>0.1</v>
      </c>
      <c r="P265">
        <f t="shared" si="23"/>
        <v>388.88099999999997</v>
      </c>
    </row>
    <row r="266" spans="1:16" x14ac:dyDescent="0.25">
      <c r="A266" t="s">
        <v>302</v>
      </c>
      <c r="B266" s="1">
        <v>45854</v>
      </c>
      <c r="C266" t="s">
        <v>25</v>
      </c>
      <c r="D266" t="s">
        <v>55</v>
      </c>
      <c r="E266" t="s">
        <v>27</v>
      </c>
      <c r="F266" t="s">
        <v>19</v>
      </c>
      <c r="G266" t="s">
        <v>36</v>
      </c>
      <c r="H266">
        <v>223.02</v>
      </c>
      <c r="I266">
        <v>15</v>
      </c>
      <c r="J266">
        <v>3345.3</v>
      </c>
      <c r="K266" t="str">
        <f t="shared" si="20"/>
        <v>Jul</v>
      </c>
      <c r="L266" t="str">
        <f t="shared" si="21"/>
        <v>High</v>
      </c>
      <c r="M266" t="str">
        <f t="shared" si="22"/>
        <v>Excellent</v>
      </c>
      <c r="N266">
        <f t="shared" si="24"/>
        <v>2913.21</v>
      </c>
      <c r="O266" s="6">
        <v>0.1</v>
      </c>
      <c r="P266">
        <f t="shared" si="23"/>
        <v>3010.7700000000004</v>
      </c>
    </row>
    <row r="267" spans="1:16" x14ac:dyDescent="0.25">
      <c r="A267" t="s">
        <v>303</v>
      </c>
      <c r="B267" s="1">
        <v>45950</v>
      </c>
      <c r="C267" t="s">
        <v>34</v>
      </c>
      <c r="D267" t="s">
        <v>55</v>
      </c>
      <c r="E267" t="s">
        <v>41</v>
      </c>
      <c r="F267" t="s">
        <v>42</v>
      </c>
      <c r="G267" t="s">
        <v>15</v>
      </c>
      <c r="H267">
        <v>192.97</v>
      </c>
      <c r="I267">
        <v>7</v>
      </c>
      <c r="J267">
        <v>1350.79</v>
      </c>
      <c r="K267" t="str">
        <f t="shared" si="20"/>
        <v>Oct</v>
      </c>
      <c r="L267" t="str">
        <f t="shared" si="21"/>
        <v>Low</v>
      </c>
      <c r="M267" t="str">
        <f t="shared" si="22"/>
        <v>Average</v>
      </c>
      <c r="N267">
        <f t="shared" si="24"/>
        <v>-1994.5100000000002</v>
      </c>
      <c r="O267" s="6">
        <v>0.1</v>
      </c>
      <c r="P267">
        <f t="shared" si="23"/>
        <v>1215.711</v>
      </c>
    </row>
    <row r="268" spans="1:16" x14ac:dyDescent="0.25">
      <c r="A268" t="s">
        <v>304</v>
      </c>
      <c r="B268" s="1">
        <v>45689</v>
      </c>
      <c r="C268" t="s">
        <v>11</v>
      </c>
      <c r="D268" t="s">
        <v>35</v>
      </c>
      <c r="E268" t="s">
        <v>27</v>
      </c>
      <c r="F268" t="s">
        <v>19</v>
      </c>
      <c r="G268" t="s">
        <v>20</v>
      </c>
      <c r="H268">
        <v>183.34</v>
      </c>
      <c r="I268">
        <v>15</v>
      </c>
      <c r="J268">
        <v>2750.1</v>
      </c>
      <c r="K268" t="str">
        <f t="shared" si="20"/>
        <v>Feb</v>
      </c>
      <c r="L268" t="str">
        <f t="shared" si="21"/>
        <v>High</v>
      </c>
      <c r="M268" t="str">
        <f t="shared" si="22"/>
        <v>Good</v>
      </c>
      <c r="N268">
        <f t="shared" si="24"/>
        <v>1399.31</v>
      </c>
      <c r="O268" s="6">
        <v>0.1</v>
      </c>
      <c r="P268">
        <f t="shared" si="23"/>
        <v>2475.09</v>
      </c>
    </row>
    <row r="269" spans="1:16" x14ac:dyDescent="0.25">
      <c r="A269" t="s">
        <v>305</v>
      </c>
      <c r="B269" s="1">
        <v>45988</v>
      </c>
      <c r="C269" t="s">
        <v>11</v>
      </c>
      <c r="D269" t="s">
        <v>26</v>
      </c>
      <c r="E269" t="s">
        <v>27</v>
      </c>
      <c r="F269" t="s">
        <v>61</v>
      </c>
      <c r="G269" t="s">
        <v>36</v>
      </c>
      <c r="H269">
        <v>184.55</v>
      </c>
      <c r="I269">
        <v>6</v>
      </c>
      <c r="J269">
        <v>1107.3</v>
      </c>
      <c r="K269" t="str">
        <f t="shared" si="20"/>
        <v>Nov</v>
      </c>
      <c r="L269" t="str">
        <f t="shared" si="21"/>
        <v>Low</v>
      </c>
      <c r="M269" t="str">
        <f t="shared" si="22"/>
        <v>Average</v>
      </c>
      <c r="N269">
        <f t="shared" si="24"/>
        <v>-1642.8</v>
      </c>
      <c r="O269" s="6">
        <v>0.1</v>
      </c>
      <c r="P269">
        <f t="shared" si="23"/>
        <v>996.56999999999994</v>
      </c>
    </row>
    <row r="270" spans="1:16" x14ac:dyDescent="0.25">
      <c r="A270" t="s">
        <v>306</v>
      </c>
      <c r="B270" s="1">
        <v>45926</v>
      </c>
      <c r="C270" t="s">
        <v>25</v>
      </c>
      <c r="D270" t="s">
        <v>26</v>
      </c>
      <c r="E270" t="s">
        <v>13</v>
      </c>
      <c r="F270" t="s">
        <v>32</v>
      </c>
      <c r="G270" t="s">
        <v>36</v>
      </c>
      <c r="H270">
        <v>109.09</v>
      </c>
      <c r="I270">
        <v>17</v>
      </c>
      <c r="J270">
        <v>1854.53</v>
      </c>
      <c r="K270" t="str">
        <f t="shared" si="20"/>
        <v>Sep</v>
      </c>
      <c r="L270" t="str">
        <f t="shared" si="21"/>
        <v>Low</v>
      </c>
      <c r="M270" t="str">
        <f t="shared" si="22"/>
        <v>Good</v>
      </c>
      <c r="N270">
        <f t="shared" si="24"/>
        <v>747.23</v>
      </c>
      <c r="O270" s="6">
        <v>0.1</v>
      </c>
      <c r="P270">
        <f t="shared" si="23"/>
        <v>1669.077</v>
      </c>
    </row>
    <row r="271" spans="1:16" x14ac:dyDescent="0.25">
      <c r="A271" t="s">
        <v>307</v>
      </c>
      <c r="B271" s="1">
        <v>45856</v>
      </c>
      <c r="C271" t="s">
        <v>34</v>
      </c>
      <c r="D271" t="s">
        <v>12</v>
      </c>
      <c r="E271" t="s">
        <v>18</v>
      </c>
      <c r="F271" t="s">
        <v>19</v>
      </c>
      <c r="G271" t="s">
        <v>20</v>
      </c>
      <c r="H271">
        <v>94.59</v>
      </c>
      <c r="I271">
        <v>14</v>
      </c>
      <c r="J271">
        <v>1324.26</v>
      </c>
      <c r="K271" t="str">
        <f t="shared" si="20"/>
        <v>Jul</v>
      </c>
      <c r="L271" t="str">
        <f t="shared" si="21"/>
        <v>Low</v>
      </c>
      <c r="M271" t="str">
        <f t="shared" si="22"/>
        <v>Average</v>
      </c>
      <c r="N271">
        <f t="shared" si="24"/>
        <v>-530.27</v>
      </c>
      <c r="O271" s="6">
        <v>0.1</v>
      </c>
      <c r="P271">
        <f t="shared" si="23"/>
        <v>1191.8340000000001</v>
      </c>
    </row>
    <row r="272" spans="1:16" x14ac:dyDescent="0.25">
      <c r="A272" t="s">
        <v>308</v>
      </c>
      <c r="B272" s="1">
        <v>45989</v>
      </c>
      <c r="C272" t="s">
        <v>11</v>
      </c>
      <c r="D272" t="s">
        <v>35</v>
      </c>
      <c r="E272" t="s">
        <v>45</v>
      </c>
      <c r="F272" t="s">
        <v>42</v>
      </c>
      <c r="G272" t="s">
        <v>20</v>
      </c>
      <c r="H272">
        <v>208.06</v>
      </c>
      <c r="I272">
        <v>11</v>
      </c>
      <c r="J272">
        <v>2288.66</v>
      </c>
      <c r="K272" t="str">
        <f t="shared" si="20"/>
        <v>Nov</v>
      </c>
      <c r="L272" t="str">
        <f t="shared" si="21"/>
        <v>High</v>
      </c>
      <c r="M272" t="str">
        <f t="shared" si="22"/>
        <v>Good</v>
      </c>
      <c r="N272">
        <f t="shared" si="24"/>
        <v>964.39999999999986</v>
      </c>
      <c r="O272" s="6">
        <v>0.1</v>
      </c>
      <c r="P272">
        <f t="shared" si="23"/>
        <v>2059.7939999999999</v>
      </c>
    </row>
    <row r="273" spans="1:16" x14ac:dyDescent="0.25">
      <c r="A273" t="s">
        <v>309</v>
      </c>
      <c r="B273" s="1">
        <v>45855</v>
      </c>
      <c r="C273" t="s">
        <v>34</v>
      </c>
      <c r="D273" t="s">
        <v>12</v>
      </c>
      <c r="E273" t="s">
        <v>27</v>
      </c>
      <c r="F273" t="s">
        <v>42</v>
      </c>
      <c r="G273" t="s">
        <v>15</v>
      </c>
      <c r="H273">
        <v>208.22</v>
      </c>
      <c r="I273">
        <v>10</v>
      </c>
      <c r="J273">
        <v>2082.1999999999998</v>
      </c>
      <c r="K273" t="str">
        <f t="shared" si="20"/>
        <v>Jul</v>
      </c>
      <c r="L273" t="str">
        <f t="shared" si="21"/>
        <v>High</v>
      </c>
      <c r="M273" t="str">
        <f t="shared" si="22"/>
        <v>Good</v>
      </c>
      <c r="N273">
        <f t="shared" si="24"/>
        <v>-206.46000000000004</v>
      </c>
      <c r="O273" s="6">
        <v>0.1</v>
      </c>
      <c r="P273">
        <f t="shared" si="23"/>
        <v>1873.9799999999998</v>
      </c>
    </row>
    <row r="274" spans="1:16" x14ac:dyDescent="0.25">
      <c r="A274" t="s">
        <v>310</v>
      </c>
      <c r="B274" s="1">
        <v>45828</v>
      </c>
      <c r="C274" t="s">
        <v>25</v>
      </c>
      <c r="D274" t="s">
        <v>12</v>
      </c>
      <c r="E274" t="s">
        <v>23</v>
      </c>
      <c r="F274" t="s">
        <v>32</v>
      </c>
      <c r="G274" t="s">
        <v>36</v>
      </c>
      <c r="H274">
        <v>220.76</v>
      </c>
      <c r="I274">
        <v>3</v>
      </c>
      <c r="J274">
        <v>662.28</v>
      </c>
      <c r="K274" t="str">
        <f t="shared" si="20"/>
        <v>Jun</v>
      </c>
      <c r="L274" t="str">
        <f t="shared" si="21"/>
        <v>Low</v>
      </c>
      <c r="M274" t="str">
        <f t="shared" si="22"/>
        <v>Average</v>
      </c>
      <c r="N274">
        <f t="shared" si="24"/>
        <v>-1419.9199999999998</v>
      </c>
      <c r="O274" s="6">
        <v>0.1</v>
      </c>
      <c r="P274">
        <f t="shared" si="23"/>
        <v>596.05200000000002</v>
      </c>
    </row>
    <row r="275" spans="1:16" x14ac:dyDescent="0.25">
      <c r="A275" t="s">
        <v>311</v>
      </c>
      <c r="B275" s="1">
        <v>45993</v>
      </c>
      <c r="C275" t="s">
        <v>30</v>
      </c>
      <c r="D275" t="s">
        <v>55</v>
      </c>
      <c r="E275" t="s">
        <v>27</v>
      </c>
      <c r="F275" t="s">
        <v>19</v>
      </c>
      <c r="G275" t="s">
        <v>36</v>
      </c>
      <c r="H275">
        <v>230.91</v>
      </c>
      <c r="I275">
        <v>13</v>
      </c>
      <c r="J275">
        <v>3001.83</v>
      </c>
      <c r="K275" t="str">
        <f t="shared" si="20"/>
        <v>Dec</v>
      </c>
      <c r="L275" t="str">
        <f t="shared" si="21"/>
        <v>High</v>
      </c>
      <c r="M275" t="str">
        <f t="shared" si="22"/>
        <v>Excellent</v>
      </c>
      <c r="N275">
        <f t="shared" si="24"/>
        <v>2339.5500000000002</v>
      </c>
      <c r="O275" s="6">
        <v>0.1</v>
      </c>
      <c r="P275">
        <f t="shared" si="23"/>
        <v>2701.6469999999999</v>
      </c>
    </row>
    <row r="276" spans="1:16" x14ac:dyDescent="0.25">
      <c r="A276" t="s">
        <v>312</v>
      </c>
      <c r="B276" s="1">
        <v>45944</v>
      </c>
      <c r="C276" t="s">
        <v>17</v>
      </c>
      <c r="D276" t="s">
        <v>35</v>
      </c>
      <c r="E276" t="s">
        <v>23</v>
      </c>
      <c r="F276" t="s">
        <v>28</v>
      </c>
      <c r="G276" t="s">
        <v>20</v>
      </c>
      <c r="H276">
        <v>142.5</v>
      </c>
      <c r="I276">
        <v>13</v>
      </c>
      <c r="J276">
        <v>1852.5</v>
      </c>
      <c r="K276" t="str">
        <f t="shared" si="20"/>
        <v>Oct</v>
      </c>
      <c r="L276" t="str">
        <f t="shared" si="21"/>
        <v>Low</v>
      </c>
      <c r="M276" t="str">
        <f t="shared" si="22"/>
        <v>Good</v>
      </c>
      <c r="N276">
        <f t="shared" si="24"/>
        <v>-1149.33</v>
      </c>
      <c r="O276" s="6">
        <v>0.1</v>
      </c>
      <c r="P276">
        <f t="shared" si="23"/>
        <v>1667.25</v>
      </c>
    </row>
    <row r="277" spans="1:16" x14ac:dyDescent="0.25">
      <c r="A277" t="s">
        <v>313</v>
      </c>
      <c r="B277" s="1">
        <v>46008</v>
      </c>
      <c r="C277" t="s">
        <v>11</v>
      </c>
      <c r="D277" t="s">
        <v>12</v>
      </c>
      <c r="E277" t="s">
        <v>27</v>
      </c>
      <c r="F277" t="s">
        <v>61</v>
      </c>
      <c r="G277" t="s">
        <v>20</v>
      </c>
      <c r="H277">
        <v>140.33000000000001</v>
      </c>
      <c r="I277">
        <v>17</v>
      </c>
      <c r="J277">
        <v>2385.61</v>
      </c>
      <c r="K277" t="str">
        <f t="shared" si="20"/>
        <v>Dec</v>
      </c>
      <c r="L277" t="str">
        <f t="shared" si="21"/>
        <v>High</v>
      </c>
      <c r="M277" t="str">
        <f t="shared" si="22"/>
        <v>Good</v>
      </c>
      <c r="N277">
        <f t="shared" si="24"/>
        <v>533.11000000000013</v>
      </c>
      <c r="O277" s="6">
        <v>0.1</v>
      </c>
      <c r="P277">
        <f t="shared" si="23"/>
        <v>2147.049</v>
      </c>
    </row>
    <row r="278" spans="1:16" x14ac:dyDescent="0.25">
      <c r="A278" t="s">
        <v>314</v>
      </c>
      <c r="B278" s="1">
        <v>45843</v>
      </c>
      <c r="C278" t="s">
        <v>34</v>
      </c>
      <c r="D278" t="s">
        <v>35</v>
      </c>
      <c r="E278" t="s">
        <v>23</v>
      </c>
      <c r="F278" t="s">
        <v>14</v>
      </c>
      <c r="G278" t="s">
        <v>36</v>
      </c>
      <c r="H278">
        <v>205.62</v>
      </c>
      <c r="I278">
        <v>1</v>
      </c>
      <c r="J278">
        <v>205.62</v>
      </c>
      <c r="K278" t="str">
        <f t="shared" si="20"/>
        <v>Jul</v>
      </c>
      <c r="L278" t="str">
        <f t="shared" si="21"/>
        <v>Low</v>
      </c>
      <c r="M278" t="str">
        <f t="shared" si="22"/>
        <v>Low</v>
      </c>
      <c r="N278">
        <f t="shared" si="24"/>
        <v>-2179.9900000000002</v>
      </c>
      <c r="O278" s="6">
        <v>0.1</v>
      </c>
      <c r="P278">
        <f t="shared" si="23"/>
        <v>185.05800000000002</v>
      </c>
    </row>
    <row r="279" spans="1:16" x14ac:dyDescent="0.25">
      <c r="A279" t="s">
        <v>315</v>
      </c>
      <c r="B279" s="1">
        <v>45906</v>
      </c>
      <c r="C279" t="s">
        <v>30</v>
      </c>
      <c r="D279" t="s">
        <v>26</v>
      </c>
      <c r="E279" t="s">
        <v>23</v>
      </c>
      <c r="F279" t="s">
        <v>19</v>
      </c>
      <c r="G279" t="s">
        <v>36</v>
      </c>
      <c r="H279">
        <v>172.99</v>
      </c>
      <c r="I279">
        <v>7</v>
      </c>
      <c r="J279">
        <v>1210.93</v>
      </c>
      <c r="K279" t="str">
        <f t="shared" si="20"/>
        <v>Sep</v>
      </c>
      <c r="L279" t="str">
        <f t="shared" si="21"/>
        <v>Low</v>
      </c>
      <c r="M279" t="str">
        <f t="shared" si="22"/>
        <v>Average</v>
      </c>
      <c r="N279">
        <f t="shared" si="24"/>
        <v>1005.3100000000001</v>
      </c>
      <c r="O279" s="6">
        <v>0.1</v>
      </c>
      <c r="P279">
        <f t="shared" si="23"/>
        <v>1089.837</v>
      </c>
    </row>
    <row r="280" spans="1:16" x14ac:dyDescent="0.25">
      <c r="A280" t="s">
        <v>316</v>
      </c>
      <c r="B280" s="1">
        <v>45709</v>
      </c>
      <c r="C280" t="s">
        <v>25</v>
      </c>
      <c r="D280" t="s">
        <v>12</v>
      </c>
      <c r="E280" t="s">
        <v>18</v>
      </c>
      <c r="F280" t="s">
        <v>19</v>
      </c>
      <c r="G280" t="s">
        <v>20</v>
      </c>
      <c r="H280">
        <v>184.43</v>
      </c>
      <c r="I280">
        <v>17</v>
      </c>
      <c r="J280">
        <v>3135.31</v>
      </c>
      <c r="K280" t="str">
        <f t="shared" si="20"/>
        <v>Feb</v>
      </c>
      <c r="L280" t="str">
        <f t="shared" si="21"/>
        <v>High</v>
      </c>
      <c r="M280" t="str">
        <f t="shared" si="22"/>
        <v>Excellent</v>
      </c>
      <c r="N280">
        <f t="shared" si="24"/>
        <v>1924.3799999999999</v>
      </c>
      <c r="O280" s="6">
        <v>0.1</v>
      </c>
      <c r="P280">
        <f t="shared" si="23"/>
        <v>2821.779</v>
      </c>
    </row>
    <row r="281" spans="1:16" x14ac:dyDescent="0.25">
      <c r="A281" t="s">
        <v>317</v>
      </c>
      <c r="B281" s="1">
        <v>45830</v>
      </c>
      <c r="C281" t="s">
        <v>30</v>
      </c>
      <c r="D281" t="s">
        <v>55</v>
      </c>
      <c r="E281" t="s">
        <v>41</v>
      </c>
      <c r="F281" t="s">
        <v>14</v>
      </c>
      <c r="G281" t="s">
        <v>15</v>
      </c>
      <c r="H281">
        <v>205.07</v>
      </c>
      <c r="I281">
        <v>20</v>
      </c>
      <c r="J281">
        <v>4101.3999999999996</v>
      </c>
      <c r="K281" t="str">
        <f t="shared" si="20"/>
        <v>Jun</v>
      </c>
      <c r="L281" t="str">
        <f t="shared" si="21"/>
        <v>High</v>
      </c>
      <c r="M281" t="str">
        <f t="shared" si="22"/>
        <v>Excellent</v>
      </c>
      <c r="N281">
        <f t="shared" si="24"/>
        <v>966.08999999999969</v>
      </c>
      <c r="O281" s="6">
        <v>0.1</v>
      </c>
      <c r="P281">
        <f t="shared" si="23"/>
        <v>3691.2599999999998</v>
      </c>
    </row>
    <row r="282" spans="1:16" x14ac:dyDescent="0.25">
      <c r="A282" t="s">
        <v>318</v>
      </c>
      <c r="B282" s="1">
        <v>45750</v>
      </c>
      <c r="C282" t="s">
        <v>30</v>
      </c>
      <c r="D282" t="s">
        <v>12</v>
      </c>
      <c r="E282" t="s">
        <v>41</v>
      </c>
      <c r="F282" t="s">
        <v>19</v>
      </c>
      <c r="G282" t="s">
        <v>36</v>
      </c>
      <c r="H282">
        <v>225.8</v>
      </c>
      <c r="I282">
        <v>20</v>
      </c>
      <c r="J282">
        <v>4516</v>
      </c>
      <c r="K282" t="str">
        <f t="shared" si="20"/>
        <v>Apr</v>
      </c>
      <c r="L282" t="str">
        <f t="shared" si="21"/>
        <v>High</v>
      </c>
      <c r="M282" t="str">
        <f t="shared" si="22"/>
        <v>Excellent</v>
      </c>
      <c r="N282">
        <f t="shared" si="24"/>
        <v>414.60000000000036</v>
      </c>
      <c r="O282" s="6">
        <v>0.1</v>
      </c>
      <c r="P282">
        <f t="shared" si="23"/>
        <v>4064.4</v>
      </c>
    </row>
    <row r="283" spans="1:16" x14ac:dyDescent="0.25">
      <c r="A283" t="s">
        <v>319</v>
      </c>
      <c r="B283" s="1">
        <v>45844</v>
      </c>
      <c r="C283" t="s">
        <v>38</v>
      </c>
      <c r="D283" t="s">
        <v>55</v>
      </c>
      <c r="E283" t="s">
        <v>13</v>
      </c>
      <c r="F283" t="s">
        <v>39</v>
      </c>
      <c r="G283" t="s">
        <v>20</v>
      </c>
      <c r="H283">
        <v>104.36</v>
      </c>
      <c r="I283">
        <v>8</v>
      </c>
      <c r="J283">
        <v>834.88</v>
      </c>
      <c r="K283" t="str">
        <f t="shared" si="20"/>
        <v>Jul</v>
      </c>
      <c r="L283" t="str">
        <f t="shared" si="21"/>
        <v>Low</v>
      </c>
      <c r="M283" t="str">
        <f t="shared" si="22"/>
        <v>Average</v>
      </c>
      <c r="N283">
        <f t="shared" si="24"/>
        <v>-3681.12</v>
      </c>
      <c r="O283" s="6">
        <v>0.1</v>
      </c>
      <c r="P283">
        <f t="shared" si="23"/>
        <v>751.39200000000005</v>
      </c>
    </row>
    <row r="284" spans="1:16" x14ac:dyDescent="0.25">
      <c r="A284" t="s">
        <v>320</v>
      </c>
      <c r="B284" s="1">
        <v>45887</v>
      </c>
      <c r="C284" t="s">
        <v>25</v>
      </c>
      <c r="D284" t="s">
        <v>26</v>
      </c>
      <c r="E284" t="s">
        <v>13</v>
      </c>
      <c r="F284" t="s">
        <v>39</v>
      </c>
      <c r="G284" t="s">
        <v>36</v>
      </c>
      <c r="H284">
        <v>112.63</v>
      </c>
      <c r="I284">
        <v>8</v>
      </c>
      <c r="J284">
        <v>901.04</v>
      </c>
      <c r="K284" t="str">
        <f t="shared" si="20"/>
        <v>Aug</v>
      </c>
      <c r="L284" t="str">
        <f t="shared" si="21"/>
        <v>Low</v>
      </c>
      <c r="M284" t="str">
        <f t="shared" si="22"/>
        <v>Average</v>
      </c>
      <c r="N284">
        <f t="shared" si="24"/>
        <v>66.159999999999968</v>
      </c>
      <c r="O284" s="6">
        <v>0.1</v>
      </c>
      <c r="P284">
        <f t="shared" si="23"/>
        <v>810.93600000000004</v>
      </c>
    </row>
    <row r="285" spans="1:16" x14ac:dyDescent="0.25">
      <c r="A285" t="s">
        <v>321</v>
      </c>
      <c r="B285" s="1">
        <v>45757</v>
      </c>
      <c r="C285" t="s">
        <v>17</v>
      </c>
      <c r="D285" t="s">
        <v>55</v>
      </c>
      <c r="E285" t="s">
        <v>41</v>
      </c>
      <c r="F285" t="s">
        <v>61</v>
      </c>
      <c r="G285" t="s">
        <v>36</v>
      </c>
      <c r="H285">
        <v>50.68</v>
      </c>
      <c r="I285">
        <v>12</v>
      </c>
      <c r="J285">
        <v>608.16</v>
      </c>
      <c r="K285" t="str">
        <f t="shared" si="20"/>
        <v>Apr</v>
      </c>
      <c r="L285" t="str">
        <f t="shared" si="21"/>
        <v>Low</v>
      </c>
      <c r="M285" t="str">
        <f t="shared" si="22"/>
        <v>Average</v>
      </c>
      <c r="N285">
        <f t="shared" si="24"/>
        <v>-292.88</v>
      </c>
      <c r="O285" s="6">
        <v>0.1</v>
      </c>
      <c r="P285">
        <f t="shared" si="23"/>
        <v>547.34399999999994</v>
      </c>
    </row>
    <row r="286" spans="1:16" x14ac:dyDescent="0.25">
      <c r="A286" t="s">
        <v>322</v>
      </c>
      <c r="B286" s="1">
        <v>45853</v>
      </c>
      <c r="C286" t="s">
        <v>25</v>
      </c>
      <c r="D286" t="s">
        <v>31</v>
      </c>
      <c r="E286" t="s">
        <v>23</v>
      </c>
      <c r="F286" t="s">
        <v>39</v>
      </c>
      <c r="G286" t="s">
        <v>15</v>
      </c>
      <c r="H286">
        <v>157.22</v>
      </c>
      <c r="I286">
        <v>17</v>
      </c>
      <c r="J286">
        <v>2672.74</v>
      </c>
      <c r="K286" t="str">
        <f t="shared" si="20"/>
        <v>Jul</v>
      </c>
      <c r="L286" t="str">
        <f t="shared" si="21"/>
        <v>High</v>
      </c>
      <c r="M286" t="str">
        <f t="shared" si="22"/>
        <v>Good</v>
      </c>
      <c r="N286">
        <f t="shared" si="24"/>
        <v>2064.58</v>
      </c>
      <c r="O286" s="6">
        <v>0.1</v>
      </c>
      <c r="P286">
        <f t="shared" si="23"/>
        <v>2405.4659999999999</v>
      </c>
    </row>
    <row r="287" spans="1:16" x14ac:dyDescent="0.25">
      <c r="A287" t="s">
        <v>323</v>
      </c>
      <c r="B287" s="1">
        <v>45967</v>
      </c>
      <c r="C287" t="s">
        <v>34</v>
      </c>
      <c r="D287" t="s">
        <v>22</v>
      </c>
      <c r="E287" t="s">
        <v>27</v>
      </c>
      <c r="F287" t="s">
        <v>61</v>
      </c>
      <c r="G287" t="s">
        <v>36</v>
      </c>
      <c r="H287">
        <v>37.909999999999997</v>
      </c>
      <c r="I287">
        <v>5</v>
      </c>
      <c r="J287">
        <v>189.55</v>
      </c>
      <c r="K287" t="str">
        <f t="shared" si="20"/>
        <v>Nov</v>
      </c>
      <c r="L287" t="str">
        <f t="shared" si="21"/>
        <v>Low</v>
      </c>
      <c r="M287" t="str">
        <f t="shared" si="22"/>
        <v>Low</v>
      </c>
      <c r="N287">
        <f t="shared" si="24"/>
        <v>-2483.1899999999996</v>
      </c>
      <c r="O287" s="6">
        <v>0.1</v>
      </c>
      <c r="P287">
        <f t="shared" si="23"/>
        <v>170.59500000000003</v>
      </c>
    </row>
    <row r="288" spans="1:16" x14ac:dyDescent="0.25">
      <c r="A288" t="s">
        <v>324</v>
      </c>
      <c r="B288" s="1">
        <v>45941</v>
      </c>
      <c r="C288" t="s">
        <v>17</v>
      </c>
      <c r="D288" t="s">
        <v>55</v>
      </c>
      <c r="E288" t="s">
        <v>45</v>
      </c>
      <c r="F288" t="s">
        <v>32</v>
      </c>
      <c r="G288" t="s">
        <v>15</v>
      </c>
      <c r="H288">
        <v>132.43</v>
      </c>
      <c r="I288">
        <v>4</v>
      </c>
      <c r="J288">
        <v>529.72</v>
      </c>
      <c r="K288" t="str">
        <f t="shared" si="20"/>
        <v>Oct</v>
      </c>
      <c r="L288" t="str">
        <f t="shared" si="21"/>
        <v>Low</v>
      </c>
      <c r="M288" t="str">
        <f t="shared" si="22"/>
        <v>Average</v>
      </c>
      <c r="N288">
        <f t="shared" si="24"/>
        <v>340.17</v>
      </c>
      <c r="O288" s="6">
        <v>0.1</v>
      </c>
      <c r="P288">
        <f t="shared" si="23"/>
        <v>476.74800000000005</v>
      </c>
    </row>
    <row r="289" spans="1:16" x14ac:dyDescent="0.25">
      <c r="A289" t="s">
        <v>325</v>
      </c>
      <c r="B289" s="1">
        <v>45740</v>
      </c>
      <c r="C289" t="s">
        <v>38</v>
      </c>
      <c r="D289" t="s">
        <v>55</v>
      </c>
      <c r="E289" t="s">
        <v>23</v>
      </c>
      <c r="F289" t="s">
        <v>39</v>
      </c>
      <c r="G289" t="s">
        <v>36</v>
      </c>
      <c r="H289">
        <v>149.38</v>
      </c>
      <c r="I289">
        <v>9</v>
      </c>
      <c r="J289">
        <v>1344.42</v>
      </c>
      <c r="K289" t="str">
        <f t="shared" si="20"/>
        <v>Mar</v>
      </c>
      <c r="L289" t="str">
        <f t="shared" si="21"/>
        <v>Low</v>
      </c>
      <c r="M289" t="str">
        <f t="shared" si="22"/>
        <v>Average</v>
      </c>
      <c r="N289">
        <f t="shared" si="24"/>
        <v>814.7</v>
      </c>
      <c r="O289" s="6">
        <v>0.1</v>
      </c>
      <c r="P289">
        <f t="shared" si="23"/>
        <v>1209.9780000000001</v>
      </c>
    </row>
    <row r="290" spans="1:16" x14ac:dyDescent="0.25">
      <c r="A290" t="s">
        <v>326</v>
      </c>
      <c r="B290" s="1">
        <v>45704</v>
      </c>
      <c r="C290" t="s">
        <v>38</v>
      </c>
      <c r="D290" t="s">
        <v>35</v>
      </c>
      <c r="E290" t="s">
        <v>45</v>
      </c>
      <c r="F290" t="s">
        <v>61</v>
      </c>
      <c r="G290" t="s">
        <v>15</v>
      </c>
      <c r="H290">
        <v>93.04</v>
      </c>
      <c r="I290">
        <v>8</v>
      </c>
      <c r="J290">
        <v>744.32</v>
      </c>
      <c r="K290" t="str">
        <f t="shared" si="20"/>
        <v>Feb</v>
      </c>
      <c r="L290" t="str">
        <f t="shared" si="21"/>
        <v>Low</v>
      </c>
      <c r="M290" t="str">
        <f t="shared" si="22"/>
        <v>Average</v>
      </c>
      <c r="N290">
        <f t="shared" si="24"/>
        <v>-600.1</v>
      </c>
      <c r="O290" s="6">
        <v>0.1</v>
      </c>
      <c r="P290">
        <f t="shared" si="23"/>
        <v>669.88800000000003</v>
      </c>
    </row>
    <row r="291" spans="1:16" x14ac:dyDescent="0.25">
      <c r="A291" t="s">
        <v>327</v>
      </c>
      <c r="B291" s="1">
        <v>45860</v>
      </c>
      <c r="C291" t="s">
        <v>34</v>
      </c>
      <c r="D291" t="s">
        <v>26</v>
      </c>
      <c r="E291" t="s">
        <v>41</v>
      </c>
      <c r="F291" t="s">
        <v>19</v>
      </c>
      <c r="G291" t="s">
        <v>36</v>
      </c>
      <c r="H291">
        <v>159.97999999999999</v>
      </c>
      <c r="I291">
        <v>17</v>
      </c>
      <c r="J291">
        <v>2719.66</v>
      </c>
      <c r="K291" t="str">
        <f t="shared" si="20"/>
        <v>Jul</v>
      </c>
      <c r="L291" t="str">
        <f t="shared" si="21"/>
        <v>High</v>
      </c>
      <c r="M291" t="str">
        <f t="shared" si="22"/>
        <v>Good</v>
      </c>
      <c r="N291">
        <f t="shared" si="24"/>
        <v>1975.3399999999997</v>
      </c>
      <c r="O291" s="6">
        <v>0.1</v>
      </c>
      <c r="P291">
        <f t="shared" si="23"/>
        <v>2447.694</v>
      </c>
    </row>
    <row r="292" spans="1:16" x14ac:dyDescent="0.25">
      <c r="A292" t="s">
        <v>328</v>
      </c>
      <c r="B292" s="1">
        <v>45772</v>
      </c>
      <c r="C292" t="s">
        <v>34</v>
      </c>
      <c r="D292" t="s">
        <v>22</v>
      </c>
      <c r="E292" t="s">
        <v>27</v>
      </c>
      <c r="F292" t="s">
        <v>28</v>
      </c>
      <c r="G292" t="s">
        <v>36</v>
      </c>
      <c r="H292">
        <v>36.71</v>
      </c>
      <c r="I292">
        <v>1</v>
      </c>
      <c r="J292">
        <v>36.71</v>
      </c>
      <c r="K292" t="str">
        <f t="shared" si="20"/>
        <v>Apr</v>
      </c>
      <c r="L292" t="str">
        <f t="shared" si="21"/>
        <v>Low</v>
      </c>
      <c r="M292" t="str">
        <f t="shared" si="22"/>
        <v>Low</v>
      </c>
      <c r="N292">
        <f t="shared" si="24"/>
        <v>-2682.95</v>
      </c>
      <c r="O292" s="6">
        <v>0.1</v>
      </c>
      <c r="P292">
        <f t="shared" si="23"/>
        <v>33.039000000000001</v>
      </c>
    </row>
    <row r="293" spans="1:16" x14ac:dyDescent="0.25">
      <c r="A293" t="s">
        <v>329</v>
      </c>
      <c r="B293" s="1">
        <v>45732</v>
      </c>
      <c r="C293" t="s">
        <v>11</v>
      </c>
      <c r="D293" t="s">
        <v>35</v>
      </c>
      <c r="E293" t="s">
        <v>41</v>
      </c>
      <c r="F293" t="s">
        <v>28</v>
      </c>
      <c r="G293" t="s">
        <v>15</v>
      </c>
      <c r="H293">
        <v>38.22</v>
      </c>
      <c r="I293">
        <v>5</v>
      </c>
      <c r="J293">
        <v>191.1</v>
      </c>
      <c r="K293" t="str">
        <f t="shared" si="20"/>
        <v>Mar</v>
      </c>
      <c r="L293" t="str">
        <f t="shared" si="21"/>
        <v>Low</v>
      </c>
      <c r="M293" t="str">
        <f t="shared" si="22"/>
        <v>Low</v>
      </c>
      <c r="N293">
        <f t="shared" si="24"/>
        <v>154.38999999999999</v>
      </c>
      <c r="O293" s="6">
        <v>0.1</v>
      </c>
      <c r="P293">
        <f t="shared" si="23"/>
        <v>171.99</v>
      </c>
    </row>
    <row r="294" spans="1:16" x14ac:dyDescent="0.25">
      <c r="A294" t="s">
        <v>330</v>
      </c>
      <c r="B294" s="1">
        <v>46019</v>
      </c>
      <c r="C294" t="s">
        <v>38</v>
      </c>
      <c r="D294" t="s">
        <v>55</v>
      </c>
      <c r="E294" t="s">
        <v>45</v>
      </c>
      <c r="F294" t="s">
        <v>19</v>
      </c>
      <c r="G294" t="s">
        <v>15</v>
      </c>
      <c r="H294">
        <v>210.97</v>
      </c>
      <c r="I294">
        <v>16</v>
      </c>
      <c r="J294">
        <v>3375.52</v>
      </c>
      <c r="K294" t="str">
        <f t="shared" si="20"/>
        <v>Dec</v>
      </c>
      <c r="L294" t="str">
        <f t="shared" si="21"/>
        <v>High</v>
      </c>
      <c r="M294" t="str">
        <f t="shared" si="22"/>
        <v>Excellent</v>
      </c>
      <c r="N294">
        <f t="shared" si="24"/>
        <v>3184.42</v>
      </c>
      <c r="O294" s="6">
        <v>0.1</v>
      </c>
      <c r="P294">
        <f t="shared" si="23"/>
        <v>3037.9679999999998</v>
      </c>
    </row>
    <row r="295" spans="1:16" x14ac:dyDescent="0.25">
      <c r="A295" t="s">
        <v>331</v>
      </c>
      <c r="B295" s="1">
        <v>45789</v>
      </c>
      <c r="C295" t="s">
        <v>30</v>
      </c>
      <c r="D295" t="s">
        <v>55</v>
      </c>
      <c r="E295" t="s">
        <v>27</v>
      </c>
      <c r="F295" t="s">
        <v>42</v>
      </c>
      <c r="G295" t="s">
        <v>20</v>
      </c>
      <c r="H295">
        <v>109.24</v>
      </c>
      <c r="I295">
        <v>7</v>
      </c>
      <c r="J295">
        <v>764.68</v>
      </c>
      <c r="K295" t="str">
        <f t="shared" si="20"/>
        <v>May</v>
      </c>
      <c r="L295" t="str">
        <f t="shared" si="21"/>
        <v>Low</v>
      </c>
      <c r="M295" t="str">
        <f t="shared" si="22"/>
        <v>Average</v>
      </c>
      <c r="N295">
        <f t="shared" si="24"/>
        <v>-2610.84</v>
      </c>
      <c r="O295" s="6">
        <v>0.1</v>
      </c>
      <c r="P295">
        <f t="shared" si="23"/>
        <v>688.21199999999999</v>
      </c>
    </row>
    <row r="296" spans="1:16" x14ac:dyDescent="0.25">
      <c r="A296" t="s">
        <v>332</v>
      </c>
      <c r="B296" s="1">
        <v>45874</v>
      </c>
      <c r="C296" t="s">
        <v>34</v>
      </c>
      <c r="D296" t="s">
        <v>26</v>
      </c>
      <c r="E296" t="s">
        <v>13</v>
      </c>
      <c r="F296" t="s">
        <v>19</v>
      </c>
      <c r="G296" t="s">
        <v>15</v>
      </c>
      <c r="H296">
        <v>57.95</v>
      </c>
      <c r="I296">
        <v>4</v>
      </c>
      <c r="J296">
        <v>231.8</v>
      </c>
      <c r="K296" t="str">
        <f t="shared" si="20"/>
        <v>Aug</v>
      </c>
      <c r="L296" t="str">
        <f t="shared" si="21"/>
        <v>Low</v>
      </c>
      <c r="M296" t="str">
        <f t="shared" si="22"/>
        <v>Low</v>
      </c>
      <c r="N296">
        <f t="shared" si="24"/>
        <v>-532.87999999999988</v>
      </c>
      <c r="O296" s="6">
        <v>0.1</v>
      </c>
      <c r="P296">
        <f t="shared" si="23"/>
        <v>208.62</v>
      </c>
    </row>
    <row r="297" spans="1:16" x14ac:dyDescent="0.25">
      <c r="A297" t="s">
        <v>333</v>
      </c>
      <c r="B297" s="1">
        <v>45780</v>
      </c>
      <c r="C297" t="s">
        <v>17</v>
      </c>
      <c r="D297" t="s">
        <v>55</v>
      </c>
      <c r="E297" t="s">
        <v>41</v>
      </c>
      <c r="F297" t="s">
        <v>19</v>
      </c>
      <c r="G297" t="s">
        <v>15</v>
      </c>
      <c r="H297">
        <v>144.88999999999999</v>
      </c>
      <c r="I297">
        <v>14</v>
      </c>
      <c r="J297">
        <v>2028.46</v>
      </c>
      <c r="K297" t="str">
        <f t="shared" si="20"/>
        <v>May</v>
      </c>
      <c r="L297" t="str">
        <f t="shared" si="21"/>
        <v>High</v>
      </c>
      <c r="M297" t="str">
        <f t="shared" si="22"/>
        <v>Good</v>
      </c>
      <c r="N297">
        <f t="shared" si="24"/>
        <v>1796.66</v>
      </c>
      <c r="O297" s="6">
        <v>0.1</v>
      </c>
      <c r="P297">
        <f t="shared" si="23"/>
        <v>1825.614</v>
      </c>
    </row>
    <row r="298" spans="1:16" x14ac:dyDescent="0.25">
      <c r="A298" t="s">
        <v>334</v>
      </c>
      <c r="B298" s="1">
        <v>45913</v>
      </c>
      <c r="C298" t="s">
        <v>25</v>
      </c>
      <c r="D298" t="s">
        <v>22</v>
      </c>
      <c r="E298" t="s">
        <v>27</v>
      </c>
      <c r="F298" t="s">
        <v>42</v>
      </c>
      <c r="G298" t="s">
        <v>20</v>
      </c>
      <c r="H298">
        <v>199.4</v>
      </c>
      <c r="I298">
        <v>20</v>
      </c>
      <c r="J298">
        <v>3988</v>
      </c>
      <c r="K298" t="str">
        <f t="shared" si="20"/>
        <v>Sep</v>
      </c>
      <c r="L298" t="str">
        <f t="shared" si="21"/>
        <v>High</v>
      </c>
      <c r="M298" t="str">
        <f t="shared" si="22"/>
        <v>Excellent</v>
      </c>
      <c r="N298">
        <f t="shared" si="24"/>
        <v>1959.54</v>
      </c>
      <c r="O298" s="6">
        <v>0.1</v>
      </c>
      <c r="P298">
        <f t="shared" si="23"/>
        <v>3589.2000000000003</v>
      </c>
    </row>
    <row r="299" spans="1:16" x14ac:dyDescent="0.25">
      <c r="A299" t="s">
        <v>335</v>
      </c>
      <c r="B299" s="1">
        <v>45781</v>
      </c>
      <c r="C299" t="s">
        <v>34</v>
      </c>
      <c r="D299" t="s">
        <v>31</v>
      </c>
      <c r="E299" t="s">
        <v>45</v>
      </c>
      <c r="F299" t="s">
        <v>42</v>
      </c>
      <c r="G299" t="s">
        <v>36</v>
      </c>
      <c r="H299">
        <v>77.48</v>
      </c>
      <c r="I299">
        <v>5</v>
      </c>
      <c r="J299">
        <v>387.4</v>
      </c>
      <c r="K299" t="str">
        <f t="shared" si="20"/>
        <v>May</v>
      </c>
      <c r="L299" t="str">
        <f t="shared" si="21"/>
        <v>Low</v>
      </c>
      <c r="M299" t="str">
        <f t="shared" si="22"/>
        <v>Low</v>
      </c>
      <c r="N299">
        <f t="shared" si="24"/>
        <v>-3600.6</v>
      </c>
      <c r="O299" s="6">
        <v>0.1</v>
      </c>
      <c r="P299">
        <f t="shared" si="23"/>
        <v>348.65999999999997</v>
      </c>
    </row>
    <row r="300" spans="1:16" x14ac:dyDescent="0.25">
      <c r="A300" t="s">
        <v>336</v>
      </c>
      <c r="B300" s="1">
        <v>45781</v>
      </c>
      <c r="C300" t="s">
        <v>38</v>
      </c>
      <c r="D300" t="s">
        <v>26</v>
      </c>
      <c r="E300" t="s">
        <v>27</v>
      </c>
      <c r="F300" t="s">
        <v>28</v>
      </c>
      <c r="G300" t="s">
        <v>15</v>
      </c>
      <c r="H300">
        <v>167.04</v>
      </c>
      <c r="I300">
        <v>19</v>
      </c>
      <c r="J300">
        <v>3173.76</v>
      </c>
      <c r="K300" t="str">
        <f t="shared" si="20"/>
        <v>May</v>
      </c>
      <c r="L300" t="str">
        <f t="shared" si="21"/>
        <v>High</v>
      </c>
      <c r="M300" t="str">
        <f t="shared" si="22"/>
        <v>Excellent</v>
      </c>
      <c r="N300">
        <f t="shared" si="24"/>
        <v>2786.36</v>
      </c>
      <c r="O300" s="6">
        <v>0.1</v>
      </c>
      <c r="P300">
        <f t="shared" si="23"/>
        <v>2856.3840000000005</v>
      </c>
    </row>
    <row r="301" spans="1:16" x14ac:dyDescent="0.25">
      <c r="A301" t="s">
        <v>337</v>
      </c>
      <c r="B301" s="1">
        <v>45926</v>
      </c>
      <c r="C301" t="s">
        <v>11</v>
      </c>
      <c r="D301" t="s">
        <v>55</v>
      </c>
      <c r="E301" t="s">
        <v>18</v>
      </c>
      <c r="F301" t="s">
        <v>42</v>
      </c>
      <c r="G301" t="s">
        <v>20</v>
      </c>
      <c r="H301">
        <v>48.78</v>
      </c>
      <c r="I301">
        <v>12</v>
      </c>
      <c r="J301">
        <v>585.36</v>
      </c>
      <c r="K301" t="str">
        <f t="shared" si="20"/>
        <v>Sep</v>
      </c>
      <c r="L301" t="str">
        <f t="shared" si="21"/>
        <v>Low</v>
      </c>
      <c r="M301" t="str">
        <f t="shared" si="22"/>
        <v>Average</v>
      </c>
      <c r="N301">
        <f t="shared" si="24"/>
        <v>-2588.4</v>
      </c>
      <c r="O301" s="6">
        <v>0.1</v>
      </c>
      <c r="P301">
        <f t="shared" si="23"/>
        <v>526.82400000000007</v>
      </c>
    </row>
    <row r="302" spans="1:16" x14ac:dyDescent="0.25">
      <c r="A302" t="s">
        <v>338</v>
      </c>
      <c r="B302" s="1">
        <v>45941</v>
      </c>
      <c r="C302" t="s">
        <v>38</v>
      </c>
      <c r="D302" t="s">
        <v>31</v>
      </c>
      <c r="E302" t="s">
        <v>45</v>
      </c>
      <c r="F302" t="s">
        <v>28</v>
      </c>
      <c r="G302" t="s">
        <v>36</v>
      </c>
      <c r="H302">
        <v>41.37</v>
      </c>
      <c r="I302">
        <v>1</v>
      </c>
      <c r="J302">
        <v>41.37</v>
      </c>
      <c r="K302" t="str">
        <f t="shared" si="20"/>
        <v>Oct</v>
      </c>
      <c r="L302" t="str">
        <f t="shared" si="21"/>
        <v>Low</v>
      </c>
      <c r="M302" t="str">
        <f t="shared" si="22"/>
        <v>Low</v>
      </c>
      <c r="N302">
        <f t="shared" si="24"/>
        <v>-543.99</v>
      </c>
      <c r="O302" s="6">
        <v>0.1</v>
      </c>
      <c r="P302">
        <f t="shared" si="23"/>
        <v>37.232999999999997</v>
      </c>
    </row>
    <row r="303" spans="1:16" x14ac:dyDescent="0.25">
      <c r="A303" t="s">
        <v>339</v>
      </c>
      <c r="B303" s="1">
        <v>45849</v>
      </c>
      <c r="C303" t="s">
        <v>17</v>
      </c>
      <c r="D303" t="s">
        <v>22</v>
      </c>
      <c r="E303" t="s">
        <v>13</v>
      </c>
      <c r="F303" t="s">
        <v>39</v>
      </c>
      <c r="G303" t="s">
        <v>15</v>
      </c>
      <c r="H303">
        <v>146.9</v>
      </c>
      <c r="I303">
        <v>9</v>
      </c>
      <c r="J303">
        <v>1322.1</v>
      </c>
      <c r="K303" t="str">
        <f t="shared" si="20"/>
        <v>Jul</v>
      </c>
      <c r="L303" t="str">
        <f t="shared" si="21"/>
        <v>Low</v>
      </c>
      <c r="M303" t="str">
        <f t="shared" si="22"/>
        <v>Average</v>
      </c>
      <c r="N303">
        <f t="shared" si="24"/>
        <v>1280.73</v>
      </c>
      <c r="O303" s="6">
        <v>0.1</v>
      </c>
      <c r="P303">
        <f t="shared" si="23"/>
        <v>1189.8899999999999</v>
      </c>
    </row>
    <row r="304" spans="1:16" x14ac:dyDescent="0.25">
      <c r="A304" t="s">
        <v>340</v>
      </c>
      <c r="B304" s="1">
        <v>45834</v>
      </c>
      <c r="C304" t="s">
        <v>17</v>
      </c>
      <c r="D304" t="s">
        <v>12</v>
      </c>
      <c r="E304" t="s">
        <v>27</v>
      </c>
      <c r="F304" t="s">
        <v>19</v>
      </c>
      <c r="G304" t="s">
        <v>20</v>
      </c>
      <c r="H304">
        <v>148.94</v>
      </c>
      <c r="I304">
        <v>8</v>
      </c>
      <c r="J304">
        <v>1191.52</v>
      </c>
      <c r="K304" t="str">
        <f t="shared" si="20"/>
        <v>Jun</v>
      </c>
      <c r="L304" t="str">
        <f t="shared" si="21"/>
        <v>Low</v>
      </c>
      <c r="M304" t="str">
        <f t="shared" si="22"/>
        <v>Average</v>
      </c>
      <c r="N304">
        <f t="shared" si="24"/>
        <v>-130.57999999999993</v>
      </c>
      <c r="O304" s="6">
        <v>0.1</v>
      </c>
      <c r="P304">
        <f t="shared" si="23"/>
        <v>1072.3679999999999</v>
      </c>
    </row>
    <row r="305" spans="1:16" x14ac:dyDescent="0.25">
      <c r="A305" t="s">
        <v>341</v>
      </c>
      <c r="B305" s="1">
        <v>45828</v>
      </c>
      <c r="C305" t="s">
        <v>11</v>
      </c>
      <c r="D305" t="s">
        <v>35</v>
      </c>
      <c r="E305" t="s">
        <v>18</v>
      </c>
      <c r="F305" t="s">
        <v>32</v>
      </c>
      <c r="G305" t="s">
        <v>20</v>
      </c>
      <c r="H305">
        <v>170.23</v>
      </c>
      <c r="I305">
        <v>5</v>
      </c>
      <c r="J305">
        <v>851.15</v>
      </c>
      <c r="K305" t="str">
        <f t="shared" si="20"/>
        <v>Jun</v>
      </c>
      <c r="L305" t="str">
        <f t="shared" si="21"/>
        <v>Low</v>
      </c>
      <c r="M305" t="str">
        <f t="shared" si="22"/>
        <v>Average</v>
      </c>
      <c r="N305">
        <f t="shared" si="24"/>
        <v>-340.37</v>
      </c>
      <c r="O305" s="6">
        <v>0.1</v>
      </c>
      <c r="P305">
        <f t="shared" si="23"/>
        <v>766.03499999999997</v>
      </c>
    </row>
    <row r="306" spans="1:16" x14ac:dyDescent="0.25">
      <c r="A306" t="s">
        <v>342</v>
      </c>
      <c r="B306" s="1">
        <v>45747</v>
      </c>
      <c r="C306" t="s">
        <v>17</v>
      </c>
      <c r="D306" t="s">
        <v>31</v>
      </c>
      <c r="E306" t="s">
        <v>27</v>
      </c>
      <c r="F306" t="s">
        <v>14</v>
      </c>
      <c r="G306" t="s">
        <v>15</v>
      </c>
      <c r="H306">
        <v>189.74</v>
      </c>
      <c r="I306">
        <v>15</v>
      </c>
      <c r="J306">
        <v>2846.1</v>
      </c>
      <c r="K306" t="str">
        <f t="shared" si="20"/>
        <v>Mar</v>
      </c>
      <c r="L306" t="str">
        <f t="shared" si="21"/>
        <v>High</v>
      </c>
      <c r="M306" t="str">
        <f t="shared" si="22"/>
        <v>Good</v>
      </c>
      <c r="N306">
        <f t="shared" si="24"/>
        <v>1994.9499999999998</v>
      </c>
      <c r="O306" s="6">
        <v>0.1</v>
      </c>
      <c r="P306">
        <f t="shared" si="23"/>
        <v>2561.4899999999998</v>
      </c>
    </row>
    <row r="307" spans="1:16" x14ac:dyDescent="0.25">
      <c r="A307" t="s">
        <v>343</v>
      </c>
      <c r="B307" s="1">
        <v>45690</v>
      </c>
      <c r="C307" t="s">
        <v>11</v>
      </c>
      <c r="D307" t="s">
        <v>35</v>
      </c>
      <c r="E307" t="s">
        <v>23</v>
      </c>
      <c r="F307" t="s">
        <v>19</v>
      </c>
      <c r="G307" t="s">
        <v>15</v>
      </c>
      <c r="H307">
        <v>244.69</v>
      </c>
      <c r="I307">
        <v>15</v>
      </c>
      <c r="J307">
        <v>3670.35</v>
      </c>
      <c r="K307" t="str">
        <f t="shared" si="20"/>
        <v>Feb</v>
      </c>
      <c r="L307" t="str">
        <f t="shared" si="21"/>
        <v>High</v>
      </c>
      <c r="M307" t="str">
        <f t="shared" si="22"/>
        <v>Excellent</v>
      </c>
      <c r="N307">
        <f t="shared" si="24"/>
        <v>824.25</v>
      </c>
      <c r="O307" s="6">
        <v>0.1</v>
      </c>
      <c r="P307">
        <f t="shared" si="23"/>
        <v>3303.3150000000001</v>
      </c>
    </row>
    <row r="308" spans="1:16" x14ac:dyDescent="0.25">
      <c r="A308" t="s">
        <v>344</v>
      </c>
      <c r="B308" s="1">
        <v>45679</v>
      </c>
      <c r="C308" t="s">
        <v>34</v>
      </c>
      <c r="D308" t="s">
        <v>55</v>
      </c>
      <c r="E308" t="s">
        <v>41</v>
      </c>
      <c r="F308" t="s">
        <v>39</v>
      </c>
      <c r="G308" t="s">
        <v>20</v>
      </c>
      <c r="H308">
        <v>143.59</v>
      </c>
      <c r="I308">
        <v>11</v>
      </c>
      <c r="J308">
        <v>1579.49</v>
      </c>
      <c r="K308" t="str">
        <f t="shared" si="20"/>
        <v>Jan</v>
      </c>
      <c r="L308" t="str">
        <f t="shared" si="21"/>
        <v>Low</v>
      </c>
      <c r="M308" t="str">
        <f t="shared" si="22"/>
        <v>Good</v>
      </c>
      <c r="N308">
        <f t="shared" si="24"/>
        <v>-2090.8599999999997</v>
      </c>
      <c r="O308" s="6">
        <v>0.1</v>
      </c>
      <c r="P308">
        <f t="shared" si="23"/>
        <v>1421.5409999999999</v>
      </c>
    </row>
    <row r="309" spans="1:16" x14ac:dyDescent="0.25">
      <c r="A309" t="s">
        <v>345</v>
      </c>
      <c r="B309" s="1">
        <v>45900</v>
      </c>
      <c r="C309" t="s">
        <v>11</v>
      </c>
      <c r="D309" t="s">
        <v>12</v>
      </c>
      <c r="E309" t="s">
        <v>23</v>
      </c>
      <c r="F309" t="s">
        <v>32</v>
      </c>
      <c r="G309" t="s">
        <v>36</v>
      </c>
      <c r="H309">
        <v>101.05</v>
      </c>
      <c r="I309">
        <v>9</v>
      </c>
      <c r="J309">
        <v>909.45</v>
      </c>
      <c r="K309" t="str">
        <f t="shared" si="20"/>
        <v>Aug</v>
      </c>
      <c r="L309" t="str">
        <f t="shared" si="21"/>
        <v>Low</v>
      </c>
      <c r="M309" t="str">
        <f t="shared" si="22"/>
        <v>Average</v>
      </c>
      <c r="N309">
        <f t="shared" si="24"/>
        <v>-670.04</v>
      </c>
      <c r="O309" s="6">
        <v>0.1</v>
      </c>
      <c r="P309">
        <f t="shared" si="23"/>
        <v>818.50500000000011</v>
      </c>
    </row>
    <row r="310" spans="1:16" x14ac:dyDescent="0.25">
      <c r="A310" t="s">
        <v>346</v>
      </c>
      <c r="B310" s="1">
        <v>45682</v>
      </c>
      <c r="C310" t="s">
        <v>34</v>
      </c>
      <c r="D310" t="s">
        <v>22</v>
      </c>
      <c r="E310" t="s">
        <v>13</v>
      </c>
      <c r="F310" t="s">
        <v>61</v>
      </c>
      <c r="G310" t="s">
        <v>36</v>
      </c>
      <c r="H310">
        <v>204.94</v>
      </c>
      <c r="I310">
        <v>11</v>
      </c>
      <c r="J310">
        <v>2254.34</v>
      </c>
      <c r="K310" t="str">
        <f t="shared" si="20"/>
        <v>Jan</v>
      </c>
      <c r="L310" t="str">
        <f t="shared" si="21"/>
        <v>High</v>
      </c>
      <c r="M310" t="str">
        <f t="shared" si="22"/>
        <v>Good</v>
      </c>
      <c r="N310">
        <f t="shared" si="24"/>
        <v>1344.89</v>
      </c>
      <c r="O310" s="6">
        <v>0.1</v>
      </c>
      <c r="P310">
        <f t="shared" si="23"/>
        <v>2028.9060000000002</v>
      </c>
    </row>
    <row r="311" spans="1:16" x14ac:dyDescent="0.25">
      <c r="A311" t="s">
        <v>347</v>
      </c>
      <c r="B311" s="1">
        <v>45883</v>
      </c>
      <c r="C311" t="s">
        <v>34</v>
      </c>
      <c r="D311" t="s">
        <v>26</v>
      </c>
      <c r="E311" t="s">
        <v>41</v>
      </c>
      <c r="F311" t="s">
        <v>28</v>
      </c>
      <c r="G311" t="s">
        <v>36</v>
      </c>
      <c r="H311">
        <v>89.58</v>
      </c>
      <c r="I311">
        <v>13</v>
      </c>
      <c r="J311">
        <v>1164.54</v>
      </c>
      <c r="K311" t="str">
        <f t="shared" si="20"/>
        <v>Aug</v>
      </c>
      <c r="L311" t="str">
        <f t="shared" si="21"/>
        <v>Low</v>
      </c>
      <c r="M311" t="str">
        <f t="shared" si="22"/>
        <v>Average</v>
      </c>
      <c r="N311">
        <f t="shared" si="24"/>
        <v>-1089.8000000000002</v>
      </c>
      <c r="O311" s="6">
        <v>0.1</v>
      </c>
      <c r="P311">
        <f t="shared" si="23"/>
        <v>1048.086</v>
      </c>
    </row>
    <row r="312" spans="1:16" x14ac:dyDescent="0.25">
      <c r="A312" t="s">
        <v>348</v>
      </c>
      <c r="B312" s="1">
        <v>45846</v>
      </c>
      <c r="C312" t="s">
        <v>34</v>
      </c>
      <c r="D312" t="s">
        <v>22</v>
      </c>
      <c r="E312" t="s">
        <v>27</v>
      </c>
      <c r="F312" t="s">
        <v>61</v>
      </c>
      <c r="G312" t="s">
        <v>15</v>
      </c>
      <c r="H312">
        <v>126.57</v>
      </c>
      <c r="I312">
        <v>17</v>
      </c>
      <c r="J312">
        <v>2151.69</v>
      </c>
      <c r="K312" t="str">
        <f t="shared" si="20"/>
        <v>Jul</v>
      </c>
      <c r="L312" t="str">
        <f t="shared" si="21"/>
        <v>High</v>
      </c>
      <c r="M312" t="str">
        <f t="shared" si="22"/>
        <v>Good</v>
      </c>
      <c r="N312">
        <f t="shared" si="24"/>
        <v>987.15000000000009</v>
      </c>
      <c r="O312" s="6">
        <v>0.1</v>
      </c>
      <c r="P312">
        <f t="shared" si="23"/>
        <v>1936.5210000000002</v>
      </c>
    </row>
    <row r="313" spans="1:16" x14ac:dyDescent="0.25">
      <c r="A313" t="s">
        <v>349</v>
      </c>
      <c r="B313" s="1">
        <v>45878</v>
      </c>
      <c r="C313" t="s">
        <v>30</v>
      </c>
      <c r="D313" t="s">
        <v>55</v>
      </c>
      <c r="E313" t="s">
        <v>13</v>
      </c>
      <c r="F313" t="s">
        <v>32</v>
      </c>
      <c r="G313" t="s">
        <v>15</v>
      </c>
      <c r="H313">
        <v>47.26</v>
      </c>
      <c r="I313">
        <v>20</v>
      </c>
      <c r="J313">
        <v>945.2</v>
      </c>
      <c r="K313" t="str">
        <f t="shared" si="20"/>
        <v>Aug</v>
      </c>
      <c r="L313" t="str">
        <f t="shared" si="21"/>
        <v>Low</v>
      </c>
      <c r="M313" t="str">
        <f t="shared" si="22"/>
        <v>Average</v>
      </c>
      <c r="N313">
        <f t="shared" si="24"/>
        <v>-1206.49</v>
      </c>
      <c r="O313" s="6">
        <v>0.1</v>
      </c>
      <c r="P313">
        <f t="shared" si="23"/>
        <v>850.68000000000006</v>
      </c>
    </row>
    <row r="314" spans="1:16" x14ac:dyDescent="0.25">
      <c r="A314" t="s">
        <v>350</v>
      </c>
      <c r="B314" s="1">
        <v>45698</v>
      </c>
      <c r="C314" t="s">
        <v>17</v>
      </c>
      <c r="D314" t="s">
        <v>35</v>
      </c>
      <c r="E314" t="s">
        <v>13</v>
      </c>
      <c r="F314" t="s">
        <v>61</v>
      </c>
      <c r="G314" t="s">
        <v>20</v>
      </c>
      <c r="H314">
        <v>35.58</v>
      </c>
      <c r="I314">
        <v>11</v>
      </c>
      <c r="J314">
        <v>391.38</v>
      </c>
      <c r="K314" t="str">
        <f t="shared" si="20"/>
        <v>Feb</v>
      </c>
      <c r="L314" t="str">
        <f t="shared" si="21"/>
        <v>Low</v>
      </c>
      <c r="M314" t="str">
        <f t="shared" si="22"/>
        <v>Low</v>
      </c>
      <c r="N314">
        <f t="shared" si="24"/>
        <v>-553.82000000000005</v>
      </c>
      <c r="O314" s="6">
        <v>0.1</v>
      </c>
      <c r="P314">
        <f t="shared" si="23"/>
        <v>352.24200000000002</v>
      </c>
    </row>
    <row r="315" spans="1:16" x14ac:dyDescent="0.25">
      <c r="A315" t="s">
        <v>351</v>
      </c>
      <c r="B315" s="1">
        <v>45876</v>
      </c>
      <c r="C315" t="s">
        <v>17</v>
      </c>
      <c r="D315" t="s">
        <v>31</v>
      </c>
      <c r="E315" t="s">
        <v>13</v>
      </c>
      <c r="F315" t="s">
        <v>61</v>
      </c>
      <c r="G315" t="s">
        <v>15</v>
      </c>
      <c r="H315">
        <v>241.78</v>
      </c>
      <c r="I315">
        <v>6</v>
      </c>
      <c r="J315">
        <v>1450.68</v>
      </c>
      <c r="K315" t="str">
        <f t="shared" si="20"/>
        <v>Aug</v>
      </c>
      <c r="L315" t="str">
        <f t="shared" si="21"/>
        <v>Low</v>
      </c>
      <c r="M315" t="str">
        <f t="shared" si="22"/>
        <v>Average</v>
      </c>
      <c r="N315">
        <f t="shared" si="24"/>
        <v>1059.3000000000002</v>
      </c>
      <c r="O315" s="6">
        <v>0.1</v>
      </c>
      <c r="P315">
        <f t="shared" si="23"/>
        <v>1305.6120000000001</v>
      </c>
    </row>
    <row r="316" spans="1:16" x14ac:dyDescent="0.25">
      <c r="A316" t="s">
        <v>352</v>
      </c>
      <c r="B316" s="1">
        <v>45838</v>
      </c>
      <c r="C316" t="s">
        <v>38</v>
      </c>
      <c r="D316" t="s">
        <v>35</v>
      </c>
      <c r="E316" t="s">
        <v>27</v>
      </c>
      <c r="F316" t="s">
        <v>39</v>
      </c>
      <c r="G316" t="s">
        <v>15</v>
      </c>
      <c r="H316">
        <v>213.92</v>
      </c>
      <c r="I316">
        <v>20</v>
      </c>
      <c r="J316">
        <v>4278.3999999999996</v>
      </c>
      <c r="K316" t="str">
        <f t="shared" si="20"/>
        <v>Jun</v>
      </c>
      <c r="L316" t="str">
        <f t="shared" si="21"/>
        <v>High</v>
      </c>
      <c r="M316" t="str">
        <f t="shared" si="22"/>
        <v>Excellent</v>
      </c>
      <c r="N316">
        <f t="shared" si="24"/>
        <v>2827.7199999999993</v>
      </c>
      <c r="O316" s="6">
        <v>0.1</v>
      </c>
      <c r="P316">
        <f t="shared" si="23"/>
        <v>3850.56</v>
      </c>
    </row>
    <row r="317" spans="1:16" x14ac:dyDescent="0.25">
      <c r="A317" t="s">
        <v>353</v>
      </c>
      <c r="B317" s="1">
        <v>45696</v>
      </c>
      <c r="C317" t="s">
        <v>34</v>
      </c>
      <c r="D317" t="s">
        <v>55</v>
      </c>
      <c r="E317" t="s">
        <v>27</v>
      </c>
      <c r="F317" t="s">
        <v>28</v>
      </c>
      <c r="G317" t="s">
        <v>15</v>
      </c>
      <c r="H317">
        <v>183.11</v>
      </c>
      <c r="I317">
        <v>13</v>
      </c>
      <c r="J317">
        <v>2380.4299999999998</v>
      </c>
      <c r="K317" t="str">
        <f t="shared" si="20"/>
        <v>Feb</v>
      </c>
      <c r="L317" t="str">
        <f t="shared" si="21"/>
        <v>High</v>
      </c>
      <c r="M317" t="str">
        <f t="shared" si="22"/>
        <v>Good</v>
      </c>
      <c r="N317">
        <f t="shared" si="24"/>
        <v>-1897.9699999999998</v>
      </c>
      <c r="O317" s="6">
        <v>0.1</v>
      </c>
      <c r="P317">
        <f t="shared" si="23"/>
        <v>2142.3869999999997</v>
      </c>
    </row>
    <row r="318" spans="1:16" x14ac:dyDescent="0.25">
      <c r="A318" t="s">
        <v>354</v>
      </c>
      <c r="B318" s="1">
        <v>45673</v>
      </c>
      <c r="C318" t="s">
        <v>25</v>
      </c>
      <c r="D318" t="s">
        <v>12</v>
      </c>
      <c r="E318" t="s">
        <v>41</v>
      </c>
      <c r="F318" t="s">
        <v>19</v>
      </c>
      <c r="G318" t="s">
        <v>15</v>
      </c>
      <c r="H318">
        <v>119.97</v>
      </c>
      <c r="I318">
        <v>5</v>
      </c>
      <c r="J318">
        <v>599.85</v>
      </c>
      <c r="K318" t="str">
        <f t="shared" si="20"/>
        <v>Jan</v>
      </c>
      <c r="L318" t="str">
        <f t="shared" si="21"/>
        <v>Low</v>
      </c>
      <c r="M318" t="str">
        <f t="shared" si="22"/>
        <v>Average</v>
      </c>
      <c r="N318">
        <f t="shared" si="24"/>
        <v>-1780.58</v>
      </c>
      <c r="O318" s="6">
        <v>0.1</v>
      </c>
      <c r="P318">
        <f t="shared" si="23"/>
        <v>539.86500000000001</v>
      </c>
    </row>
    <row r="319" spans="1:16" x14ac:dyDescent="0.25">
      <c r="A319" t="s">
        <v>355</v>
      </c>
      <c r="B319" s="1">
        <v>45692</v>
      </c>
      <c r="C319" t="s">
        <v>17</v>
      </c>
      <c r="D319" t="s">
        <v>35</v>
      </c>
      <c r="E319" t="s">
        <v>13</v>
      </c>
      <c r="F319" t="s">
        <v>61</v>
      </c>
      <c r="G319" t="s">
        <v>20</v>
      </c>
      <c r="H319">
        <v>68.12</v>
      </c>
      <c r="I319">
        <v>8</v>
      </c>
      <c r="J319">
        <v>544.96</v>
      </c>
      <c r="K319" t="str">
        <f t="shared" si="20"/>
        <v>Feb</v>
      </c>
      <c r="L319" t="str">
        <f t="shared" si="21"/>
        <v>Low</v>
      </c>
      <c r="M319" t="str">
        <f t="shared" si="22"/>
        <v>Average</v>
      </c>
      <c r="N319">
        <f t="shared" si="24"/>
        <v>-54.889999999999986</v>
      </c>
      <c r="O319" s="6">
        <v>0.1</v>
      </c>
      <c r="P319">
        <f t="shared" si="23"/>
        <v>490.46400000000006</v>
      </c>
    </row>
    <row r="320" spans="1:16" x14ac:dyDescent="0.25">
      <c r="A320" t="s">
        <v>356</v>
      </c>
      <c r="B320" s="1">
        <v>45674</v>
      </c>
      <c r="C320" t="s">
        <v>30</v>
      </c>
      <c r="D320" t="s">
        <v>12</v>
      </c>
      <c r="E320" t="s">
        <v>41</v>
      </c>
      <c r="F320" t="s">
        <v>32</v>
      </c>
      <c r="G320" t="s">
        <v>36</v>
      </c>
      <c r="H320">
        <v>64.42</v>
      </c>
      <c r="I320">
        <v>20</v>
      </c>
      <c r="J320">
        <v>1288.4000000000001</v>
      </c>
      <c r="K320" t="str">
        <f t="shared" si="20"/>
        <v>Jan</v>
      </c>
      <c r="L320" t="str">
        <f t="shared" si="21"/>
        <v>Low</v>
      </c>
      <c r="M320" t="str">
        <f t="shared" si="22"/>
        <v>Average</v>
      </c>
      <c r="N320">
        <f t="shared" si="24"/>
        <v>743.44</v>
      </c>
      <c r="O320" s="6">
        <v>0.1</v>
      </c>
      <c r="P320">
        <f t="shared" si="23"/>
        <v>1159.5600000000002</v>
      </c>
    </row>
    <row r="321" spans="1:16" x14ac:dyDescent="0.25">
      <c r="A321" t="s">
        <v>357</v>
      </c>
      <c r="B321" s="1">
        <v>45885</v>
      </c>
      <c r="C321" t="s">
        <v>25</v>
      </c>
      <c r="D321" t="s">
        <v>26</v>
      </c>
      <c r="E321" t="s">
        <v>18</v>
      </c>
      <c r="F321" t="s">
        <v>32</v>
      </c>
      <c r="G321" t="s">
        <v>36</v>
      </c>
      <c r="H321">
        <v>85.05</v>
      </c>
      <c r="I321">
        <v>3</v>
      </c>
      <c r="J321">
        <v>255.15</v>
      </c>
      <c r="K321" t="str">
        <f t="shared" si="20"/>
        <v>Aug</v>
      </c>
      <c r="L321" t="str">
        <f t="shared" si="21"/>
        <v>Low</v>
      </c>
      <c r="M321" t="str">
        <f t="shared" si="22"/>
        <v>Low</v>
      </c>
      <c r="N321">
        <f t="shared" si="24"/>
        <v>-1033.25</v>
      </c>
      <c r="O321" s="6">
        <v>0.1</v>
      </c>
      <c r="P321">
        <f t="shared" si="23"/>
        <v>229.63500000000002</v>
      </c>
    </row>
    <row r="322" spans="1:16" x14ac:dyDescent="0.25">
      <c r="A322" t="s">
        <v>358</v>
      </c>
      <c r="B322" s="1">
        <v>45818</v>
      </c>
      <c r="C322" t="s">
        <v>30</v>
      </c>
      <c r="D322" t="s">
        <v>22</v>
      </c>
      <c r="E322" t="s">
        <v>45</v>
      </c>
      <c r="F322" t="s">
        <v>28</v>
      </c>
      <c r="G322" t="s">
        <v>15</v>
      </c>
      <c r="H322">
        <v>150.83000000000001</v>
      </c>
      <c r="I322">
        <v>9</v>
      </c>
      <c r="J322">
        <v>1357.47</v>
      </c>
      <c r="K322" t="str">
        <f t="shared" ref="K322:K385" si="25">TEXT(B322,"MMM")</f>
        <v>Jun</v>
      </c>
      <c r="L322" t="str">
        <f t="shared" ref="L322:L385" si="26">IF(J322&gt;2000,"High","Low")</f>
        <v>Low</v>
      </c>
      <c r="M322" t="str">
        <f t="shared" ref="M322:M385" si="27">IF(J322&gt;3000,"Excellent",
 IF(J322&gt;1500,"Good",
 IF(J322&gt;500,"Average","Low")))</f>
        <v>Average</v>
      </c>
      <c r="N322">
        <f t="shared" si="24"/>
        <v>1102.32</v>
      </c>
      <c r="O322" s="6">
        <v>0.1</v>
      </c>
      <c r="P322">
        <f t="shared" ref="P322:P385" si="28">J322*(1-O322)</f>
        <v>1221.723</v>
      </c>
    </row>
    <row r="323" spans="1:16" x14ac:dyDescent="0.25">
      <c r="A323" t="s">
        <v>359</v>
      </c>
      <c r="B323" s="1">
        <v>45913</v>
      </c>
      <c r="C323" t="s">
        <v>38</v>
      </c>
      <c r="D323" t="s">
        <v>55</v>
      </c>
      <c r="E323" t="s">
        <v>45</v>
      </c>
      <c r="F323" t="s">
        <v>32</v>
      </c>
      <c r="G323" t="s">
        <v>36</v>
      </c>
      <c r="H323">
        <v>187.21</v>
      </c>
      <c r="I323">
        <v>17</v>
      </c>
      <c r="J323">
        <v>3182.57</v>
      </c>
      <c r="K323" t="str">
        <f t="shared" si="25"/>
        <v>Sep</v>
      </c>
      <c r="L323" t="str">
        <f t="shared" si="26"/>
        <v>High</v>
      </c>
      <c r="M323" t="str">
        <f t="shared" si="27"/>
        <v>Excellent</v>
      </c>
      <c r="N323">
        <f t="shared" ref="N323:N386" si="29">J323-J322</f>
        <v>1825.1000000000001</v>
      </c>
      <c r="O323" s="6">
        <v>0.1</v>
      </c>
      <c r="P323">
        <f t="shared" si="28"/>
        <v>2864.3130000000001</v>
      </c>
    </row>
    <row r="324" spans="1:16" x14ac:dyDescent="0.25">
      <c r="A324" t="s">
        <v>360</v>
      </c>
      <c r="B324" s="1">
        <v>46018</v>
      </c>
      <c r="C324" t="s">
        <v>30</v>
      </c>
      <c r="D324" t="s">
        <v>55</v>
      </c>
      <c r="E324" t="s">
        <v>13</v>
      </c>
      <c r="F324" t="s">
        <v>28</v>
      </c>
      <c r="G324" t="s">
        <v>36</v>
      </c>
      <c r="H324">
        <v>175.24</v>
      </c>
      <c r="I324">
        <v>15</v>
      </c>
      <c r="J324">
        <v>2628.6</v>
      </c>
      <c r="K324" t="str">
        <f t="shared" si="25"/>
        <v>Dec</v>
      </c>
      <c r="L324" t="str">
        <f t="shared" si="26"/>
        <v>High</v>
      </c>
      <c r="M324" t="str">
        <f t="shared" si="27"/>
        <v>Good</v>
      </c>
      <c r="N324">
        <f t="shared" si="29"/>
        <v>-553.97000000000025</v>
      </c>
      <c r="O324" s="6">
        <v>0.1</v>
      </c>
      <c r="P324">
        <f t="shared" si="28"/>
        <v>2365.7399999999998</v>
      </c>
    </row>
    <row r="325" spans="1:16" x14ac:dyDescent="0.25">
      <c r="A325" t="s">
        <v>361</v>
      </c>
      <c r="B325" s="1">
        <v>45760</v>
      </c>
      <c r="C325" t="s">
        <v>30</v>
      </c>
      <c r="D325" t="s">
        <v>22</v>
      </c>
      <c r="E325" t="s">
        <v>41</v>
      </c>
      <c r="F325" t="s">
        <v>14</v>
      </c>
      <c r="G325" t="s">
        <v>20</v>
      </c>
      <c r="H325">
        <v>91.59</v>
      </c>
      <c r="I325">
        <v>4</v>
      </c>
      <c r="J325">
        <v>366.36</v>
      </c>
      <c r="K325" t="str">
        <f t="shared" si="25"/>
        <v>Apr</v>
      </c>
      <c r="L325" t="str">
        <f t="shared" si="26"/>
        <v>Low</v>
      </c>
      <c r="M325" t="str">
        <f t="shared" si="27"/>
        <v>Low</v>
      </c>
      <c r="N325">
        <f t="shared" si="29"/>
        <v>-2262.2399999999998</v>
      </c>
      <c r="O325" s="6">
        <v>0.1</v>
      </c>
      <c r="P325">
        <f t="shared" si="28"/>
        <v>329.72400000000005</v>
      </c>
    </row>
    <row r="326" spans="1:16" x14ac:dyDescent="0.25">
      <c r="A326" t="s">
        <v>362</v>
      </c>
      <c r="B326" s="1">
        <v>45885</v>
      </c>
      <c r="C326" t="s">
        <v>17</v>
      </c>
      <c r="D326" t="s">
        <v>35</v>
      </c>
      <c r="E326" t="s">
        <v>27</v>
      </c>
      <c r="F326" t="s">
        <v>32</v>
      </c>
      <c r="G326" t="s">
        <v>20</v>
      </c>
      <c r="H326">
        <v>240.07</v>
      </c>
      <c r="I326">
        <v>3</v>
      </c>
      <c r="J326">
        <v>720.21</v>
      </c>
      <c r="K326" t="str">
        <f t="shared" si="25"/>
        <v>Aug</v>
      </c>
      <c r="L326" t="str">
        <f t="shared" si="26"/>
        <v>Low</v>
      </c>
      <c r="M326" t="str">
        <f t="shared" si="27"/>
        <v>Average</v>
      </c>
      <c r="N326">
        <f t="shared" si="29"/>
        <v>353.85</v>
      </c>
      <c r="O326" s="6">
        <v>0.1</v>
      </c>
      <c r="P326">
        <f t="shared" si="28"/>
        <v>648.18900000000008</v>
      </c>
    </row>
    <row r="327" spans="1:16" x14ac:dyDescent="0.25">
      <c r="A327" t="s">
        <v>363</v>
      </c>
      <c r="B327" s="1">
        <v>45691</v>
      </c>
      <c r="C327" t="s">
        <v>25</v>
      </c>
      <c r="D327" t="s">
        <v>35</v>
      </c>
      <c r="E327" t="s">
        <v>13</v>
      </c>
      <c r="F327" t="s">
        <v>39</v>
      </c>
      <c r="G327" t="s">
        <v>15</v>
      </c>
      <c r="H327">
        <v>192.34</v>
      </c>
      <c r="I327">
        <v>18</v>
      </c>
      <c r="J327">
        <v>3462.12</v>
      </c>
      <c r="K327" t="str">
        <f t="shared" si="25"/>
        <v>Feb</v>
      </c>
      <c r="L327" t="str">
        <f t="shared" si="26"/>
        <v>High</v>
      </c>
      <c r="M327" t="str">
        <f t="shared" si="27"/>
        <v>Excellent</v>
      </c>
      <c r="N327">
        <f t="shared" si="29"/>
        <v>2741.91</v>
      </c>
      <c r="O327" s="6">
        <v>0.1</v>
      </c>
      <c r="P327">
        <f t="shared" si="28"/>
        <v>3115.9079999999999</v>
      </c>
    </row>
    <row r="328" spans="1:16" x14ac:dyDescent="0.25">
      <c r="A328" t="s">
        <v>364</v>
      </c>
      <c r="B328" s="1">
        <v>46022</v>
      </c>
      <c r="C328" t="s">
        <v>34</v>
      </c>
      <c r="D328" t="s">
        <v>55</v>
      </c>
      <c r="E328" t="s">
        <v>23</v>
      </c>
      <c r="F328" t="s">
        <v>19</v>
      </c>
      <c r="G328" t="s">
        <v>15</v>
      </c>
      <c r="H328">
        <v>151.96</v>
      </c>
      <c r="I328">
        <v>6</v>
      </c>
      <c r="J328">
        <v>911.76</v>
      </c>
      <c r="K328" t="str">
        <f t="shared" si="25"/>
        <v>Dec</v>
      </c>
      <c r="L328" t="str">
        <f t="shared" si="26"/>
        <v>Low</v>
      </c>
      <c r="M328" t="str">
        <f t="shared" si="27"/>
        <v>Average</v>
      </c>
      <c r="N328">
        <f t="shared" si="29"/>
        <v>-2550.3599999999997</v>
      </c>
      <c r="O328" s="6">
        <v>0.1</v>
      </c>
      <c r="P328">
        <f t="shared" si="28"/>
        <v>820.58400000000006</v>
      </c>
    </row>
    <row r="329" spans="1:16" x14ac:dyDescent="0.25">
      <c r="A329" t="s">
        <v>365</v>
      </c>
      <c r="B329" s="1">
        <v>45729</v>
      </c>
      <c r="C329" t="s">
        <v>38</v>
      </c>
      <c r="D329" t="s">
        <v>22</v>
      </c>
      <c r="E329" t="s">
        <v>13</v>
      </c>
      <c r="F329" t="s">
        <v>42</v>
      </c>
      <c r="G329" t="s">
        <v>20</v>
      </c>
      <c r="H329">
        <v>164.58</v>
      </c>
      <c r="I329">
        <v>8</v>
      </c>
      <c r="J329">
        <v>1316.64</v>
      </c>
      <c r="K329" t="str">
        <f t="shared" si="25"/>
        <v>Mar</v>
      </c>
      <c r="L329" t="str">
        <f t="shared" si="26"/>
        <v>Low</v>
      </c>
      <c r="M329" t="str">
        <f t="shared" si="27"/>
        <v>Average</v>
      </c>
      <c r="N329">
        <f t="shared" si="29"/>
        <v>404.88000000000011</v>
      </c>
      <c r="O329" s="6">
        <v>0.1</v>
      </c>
      <c r="P329">
        <f t="shared" si="28"/>
        <v>1184.9760000000001</v>
      </c>
    </row>
    <row r="330" spans="1:16" x14ac:dyDescent="0.25">
      <c r="A330" t="s">
        <v>366</v>
      </c>
      <c r="B330" s="1">
        <v>45846</v>
      </c>
      <c r="C330" t="s">
        <v>25</v>
      </c>
      <c r="D330" t="s">
        <v>26</v>
      </c>
      <c r="E330" t="s">
        <v>18</v>
      </c>
      <c r="F330" t="s">
        <v>19</v>
      </c>
      <c r="G330" t="s">
        <v>15</v>
      </c>
      <c r="H330">
        <v>122.31</v>
      </c>
      <c r="I330">
        <v>15</v>
      </c>
      <c r="J330">
        <v>1834.65</v>
      </c>
      <c r="K330" t="str">
        <f t="shared" si="25"/>
        <v>Jul</v>
      </c>
      <c r="L330" t="str">
        <f t="shared" si="26"/>
        <v>Low</v>
      </c>
      <c r="M330" t="str">
        <f t="shared" si="27"/>
        <v>Good</v>
      </c>
      <c r="N330">
        <f t="shared" si="29"/>
        <v>518.01</v>
      </c>
      <c r="O330" s="6">
        <v>0.1</v>
      </c>
      <c r="P330">
        <f t="shared" si="28"/>
        <v>1651.1850000000002</v>
      </c>
    </row>
    <row r="331" spans="1:16" x14ac:dyDescent="0.25">
      <c r="A331" t="s">
        <v>367</v>
      </c>
      <c r="B331" s="1">
        <v>45816</v>
      </c>
      <c r="C331" t="s">
        <v>17</v>
      </c>
      <c r="D331" t="s">
        <v>12</v>
      </c>
      <c r="E331" t="s">
        <v>41</v>
      </c>
      <c r="F331" t="s">
        <v>42</v>
      </c>
      <c r="G331" t="s">
        <v>36</v>
      </c>
      <c r="H331">
        <v>84.5</v>
      </c>
      <c r="I331">
        <v>13</v>
      </c>
      <c r="J331">
        <v>1098.5</v>
      </c>
      <c r="K331" t="str">
        <f t="shared" si="25"/>
        <v>Jun</v>
      </c>
      <c r="L331" t="str">
        <f t="shared" si="26"/>
        <v>Low</v>
      </c>
      <c r="M331" t="str">
        <f t="shared" si="27"/>
        <v>Average</v>
      </c>
      <c r="N331">
        <f t="shared" si="29"/>
        <v>-736.15000000000009</v>
      </c>
      <c r="O331" s="6">
        <v>0.1</v>
      </c>
      <c r="P331">
        <f t="shared" si="28"/>
        <v>988.65</v>
      </c>
    </row>
    <row r="332" spans="1:16" x14ac:dyDescent="0.25">
      <c r="A332" t="s">
        <v>368</v>
      </c>
      <c r="B332" s="1">
        <v>45867</v>
      </c>
      <c r="C332" t="s">
        <v>11</v>
      </c>
      <c r="D332" t="s">
        <v>26</v>
      </c>
      <c r="E332" t="s">
        <v>13</v>
      </c>
      <c r="F332" t="s">
        <v>28</v>
      </c>
      <c r="G332" t="s">
        <v>15</v>
      </c>
      <c r="H332">
        <v>108.31</v>
      </c>
      <c r="I332">
        <v>19</v>
      </c>
      <c r="J332">
        <v>2057.89</v>
      </c>
      <c r="K332" t="str">
        <f t="shared" si="25"/>
        <v>Jul</v>
      </c>
      <c r="L332" t="str">
        <f t="shared" si="26"/>
        <v>High</v>
      </c>
      <c r="M332" t="str">
        <f t="shared" si="27"/>
        <v>Good</v>
      </c>
      <c r="N332">
        <f t="shared" si="29"/>
        <v>959.38999999999987</v>
      </c>
      <c r="O332" s="6">
        <v>0.1</v>
      </c>
      <c r="P332">
        <f t="shared" si="28"/>
        <v>1852.1009999999999</v>
      </c>
    </row>
    <row r="333" spans="1:16" x14ac:dyDescent="0.25">
      <c r="A333" t="s">
        <v>369</v>
      </c>
      <c r="B333" s="1">
        <v>45888</v>
      </c>
      <c r="C333" t="s">
        <v>17</v>
      </c>
      <c r="D333" t="s">
        <v>55</v>
      </c>
      <c r="E333" t="s">
        <v>13</v>
      </c>
      <c r="F333" t="s">
        <v>14</v>
      </c>
      <c r="G333" t="s">
        <v>20</v>
      </c>
      <c r="H333">
        <v>196.73</v>
      </c>
      <c r="I333">
        <v>15</v>
      </c>
      <c r="J333">
        <v>2950.95</v>
      </c>
      <c r="K333" t="str">
        <f t="shared" si="25"/>
        <v>Aug</v>
      </c>
      <c r="L333" t="str">
        <f t="shared" si="26"/>
        <v>High</v>
      </c>
      <c r="M333" t="str">
        <f t="shared" si="27"/>
        <v>Good</v>
      </c>
      <c r="N333">
        <f t="shared" si="29"/>
        <v>893.06</v>
      </c>
      <c r="O333" s="6">
        <v>0.1</v>
      </c>
      <c r="P333">
        <f t="shared" si="28"/>
        <v>2655.855</v>
      </c>
    </row>
    <row r="334" spans="1:16" x14ac:dyDescent="0.25">
      <c r="A334" t="s">
        <v>370</v>
      </c>
      <c r="B334" s="1">
        <v>45985</v>
      </c>
      <c r="C334" t="s">
        <v>30</v>
      </c>
      <c r="D334" t="s">
        <v>26</v>
      </c>
      <c r="E334" t="s">
        <v>41</v>
      </c>
      <c r="F334" t="s">
        <v>42</v>
      </c>
      <c r="G334" t="s">
        <v>15</v>
      </c>
      <c r="H334">
        <v>33.17</v>
      </c>
      <c r="I334">
        <v>19</v>
      </c>
      <c r="J334">
        <v>630.23</v>
      </c>
      <c r="K334" t="str">
        <f t="shared" si="25"/>
        <v>Nov</v>
      </c>
      <c r="L334" t="str">
        <f t="shared" si="26"/>
        <v>Low</v>
      </c>
      <c r="M334" t="str">
        <f t="shared" si="27"/>
        <v>Average</v>
      </c>
      <c r="N334">
        <f t="shared" si="29"/>
        <v>-2320.7199999999998</v>
      </c>
      <c r="O334" s="6">
        <v>0.1</v>
      </c>
      <c r="P334">
        <f t="shared" si="28"/>
        <v>567.20699999999999</v>
      </c>
    </row>
    <row r="335" spans="1:16" x14ac:dyDescent="0.25">
      <c r="A335" t="s">
        <v>371</v>
      </c>
      <c r="B335" s="1">
        <v>45721</v>
      </c>
      <c r="C335" t="s">
        <v>30</v>
      </c>
      <c r="D335" t="s">
        <v>35</v>
      </c>
      <c r="E335" t="s">
        <v>23</v>
      </c>
      <c r="F335" t="s">
        <v>14</v>
      </c>
      <c r="G335" t="s">
        <v>36</v>
      </c>
      <c r="H335">
        <v>55.54</v>
      </c>
      <c r="I335">
        <v>17</v>
      </c>
      <c r="J335">
        <v>944.18</v>
      </c>
      <c r="K335" t="str">
        <f t="shared" si="25"/>
        <v>Mar</v>
      </c>
      <c r="L335" t="str">
        <f t="shared" si="26"/>
        <v>Low</v>
      </c>
      <c r="M335" t="str">
        <f t="shared" si="27"/>
        <v>Average</v>
      </c>
      <c r="N335">
        <f t="shared" si="29"/>
        <v>313.94999999999993</v>
      </c>
      <c r="O335" s="6">
        <v>0.1</v>
      </c>
      <c r="P335">
        <f t="shared" si="28"/>
        <v>849.76199999999994</v>
      </c>
    </row>
    <row r="336" spans="1:16" x14ac:dyDescent="0.25">
      <c r="A336" t="s">
        <v>372</v>
      </c>
      <c r="B336" s="1">
        <v>46021</v>
      </c>
      <c r="C336" t="s">
        <v>34</v>
      </c>
      <c r="D336" t="s">
        <v>55</v>
      </c>
      <c r="E336" t="s">
        <v>13</v>
      </c>
      <c r="F336" t="s">
        <v>39</v>
      </c>
      <c r="G336" t="s">
        <v>15</v>
      </c>
      <c r="H336">
        <v>40.119999999999997</v>
      </c>
      <c r="I336">
        <v>8</v>
      </c>
      <c r="J336">
        <v>320.95999999999998</v>
      </c>
      <c r="K336" t="str">
        <f t="shared" si="25"/>
        <v>Dec</v>
      </c>
      <c r="L336" t="str">
        <f t="shared" si="26"/>
        <v>Low</v>
      </c>
      <c r="M336" t="str">
        <f t="shared" si="27"/>
        <v>Low</v>
      </c>
      <c r="N336">
        <f t="shared" si="29"/>
        <v>-623.22</v>
      </c>
      <c r="O336" s="6">
        <v>0.1</v>
      </c>
      <c r="P336">
        <f t="shared" si="28"/>
        <v>288.86399999999998</v>
      </c>
    </row>
    <row r="337" spans="1:16" x14ac:dyDescent="0.25">
      <c r="A337" t="s">
        <v>373</v>
      </c>
      <c r="B337" s="1">
        <v>45786</v>
      </c>
      <c r="C337" t="s">
        <v>17</v>
      </c>
      <c r="D337" t="s">
        <v>55</v>
      </c>
      <c r="E337" t="s">
        <v>13</v>
      </c>
      <c r="F337" t="s">
        <v>14</v>
      </c>
      <c r="G337" t="s">
        <v>20</v>
      </c>
      <c r="H337">
        <v>38.96</v>
      </c>
      <c r="I337">
        <v>7</v>
      </c>
      <c r="J337">
        <v>272.72000000000003</v>
      </c>
      <c r="K337" t="str">
        <f t="shared" si="25"/>
        <v>May</v>
      </c>
      <c r="L337" t="str">
        <f t="shared" si="26"/>
        <v>Low</v>
      </c>
      <c r="M337" t="str">
        <f t="shared" si="27"/>
        <v>Low</v>
      </c>
      <c r="N337">
        <f t="shared" si="29"/>
        <v>-48.239999999999952</v>
      </c>
      <c r="O337" s="6">
        <v>0.1</v>
      </c>
      <c r="P337">
        <f t="shared" si="28"/>
        <v>245.44800000000004</v>
      </c>
    </row>
    <row r="338" spans="1:16" x14ac:dyDescent="0.25">
      <c r="A338" t="s">
        <v>374</v>
      </c>
      <c r="B338" s="1">
        <v>45813</v>
      </c>
      <c r="C338" t="s">
        <v>25</v>
      </c>
      <c r="D338" t="s">
        <v>22</v>
      </c>
      <c r="E338" t="s">
        <v>18</v>
      </c>
      <c r="F338" t="s">
        <v>28</v>
      </c>
      <c r="G338" t="s">
        <v>15</v>
      </c>
      <c r="H338">
        <v>218.2</v>
      </c>
      <c r="I338">
        <v>20</v>
      </c>
      <c r="J338">
        <v>4364</v>
      </c>
      <c r="K338" t="str">
        <f t="shared" si="25"/>
        <v>Jun</v>
      </c>
      <c r="L338" t="str">
        <f t="shared" si="26"/>
        <v>High</v>
      </c>
      <c r="M338" t="str">
        <f t="shared" si="27"/>
        <v>Excellent</v>
      </c>
      <c r="N338">
        <f t="shared" si="29"/>
        <v>4091.2799999999997</v>
      </c>
      <c r="O338" s="6">
        <v>0.1</v>
      </c>
      <c r="P338">
        <f t="shared" si="28"/>
        <v>3927.6</v>
      </c>
    </row>
    <row r="339" spans="1:16" x14ac:dyDescent="0.25">
      <c r="A339" t="s">
        <v>375</v>
      </c>
      <c r="B339" s="1">
        <v>45961</v>
      </c>
      <c r="C339" t="s">
        <v>30</v>
      </c>
      <c r="D339" t="s">
        <v>26</v>
      </c>
      <c r="E339" t="s">
        <v>27</v>
      </c>
      <c r="F339" t="s">
        <v>42</v>
      </c>
      <c r="G339" t="s">
        <v>20</v>
      </c>
      <c r="H339">
        <v>184.8</v>
      </c>
      <c r="I339">
        <v>19</v>
      </c>
      <c r="J339">
        <v>3511.2</v>
      </c>
      <c r="K339" t="str">
        <f t="shared" si="25"/>
        <v>Oct</v>
      </c>
      <c r="L339" t="str">
        <f t="shared" si="26"/>
        <v>High</v>
      </c>
      <c r="M339" t="str">
        <f t="shared" si="27"/>
        <v>Excellent</v>
      </c>
      <c r="N339">
        <f t="shared" si="29"/>
        <v>-852.80000000000018</v>
      </c>
      <c r="O339" s="6">
        <v>0.1</v>
      </c>
      <c r="P339">
        <f t="shared" si="28"/>
        <v>3160.08</v>
      </c>
    </row>
    <row r="340" spans="1:16" x14ac:dyDescent="0.25">
      <c r="A340" t="s">
        <v>376</v>
      </c>
      <c r="B340" s="1">
        <v>45967</v>
      </c>
      <c r="C340" t="s">
        <v>25</v>
      </c>
      <c r="D340" t="s">
        <v>22</v>
      </c>
      <c r="E340" t="s">
        <v>45</v>
      </c>
      <c r="F340" t="s">
        <v>19</v>
      </c>
      <c r="G340" t="s">
        <v>15</v>
      </c>
      <c r="H340">
        <v>134.32</v>
      </c>
      <c r="I340">
        <v>11</v>
      </c>
      <c r="J340">
        <v>1477.52</v>
      </c>
      <c r="K340" t="str">
        <f t="shared" si="25"/>
        <v>Nov</v>
      </c>
      <c r="L340" t="str">
        <f t="shared" si="26"/>
        <v>Low</v>
      </c>
      <c r="M340" t="str">
        <f t="shared" si="27"/>
        <v>Average</v>
      </c>
      <c r="N340">
        <f t="shared" si="29"/>
        <v>-2033.6799999999998</v>
      </c>
      <c r="O340" s="6">
        <v>0.1</v>
      </c>
      <c r="P340">
        <f t="shared" si="28"/>
        <v>1329.768</v>
      </c>
    </row>
    <row r="341" spans="1:16" x14ac:dyDescent="0.25">
      <c r="A341" t="s">
        <v>377</v>
      </c>
      <c r="B341" s="1">
        <v>45986</v>
      </c>
      <c r="C341" t="s">
        <v>34</v>
      </c>
      <c r="D341" t="s">
        <v>12</v>
      </c>
      <c r="E341" t="s">
        <v>23</v>
      </c>
      <c r="F341" t="s">
        <v>39</v>
      </c>
      <c r="G341" t="s">
        <v>20</v>
      </c>
      <c r="H341">
        <v>51.52</v>
      </c>
      <c r="I341">
        <v>19</v>
      </c>
      <c r="J341">
        <v>978.88</v>
      </c>
      <c r="K341" t="str">
        <f t="shared" si="25"/>
        <v>Nov</v>
      </c>
      <c r="L341" t="str">
        <f t="shared" si="26"/>
        <v>Low</v>
      </c>
      <c r="M341" t="str">
        <f t="shared" si="27"/>
        <v>Average</v>
      </c>
      <c r="N341">
        <f t="shared" si="29"/>
        <v>-498.64</v>
      </c>
      <c r="O341" s="6">
        <v>0.1</v>
      </c>
      <c r="P341">
        <f t="shared" si="28"/>
        <v>880.99199999999996</v>
      </c>
    </row>
    <row r="342" spans="1:16" x14ac:dyDescent="0.25">
      <c r="A342" t="s">
        <v>378</v>
      </c>
      <c r="B342" s="1">
        <v>45871</v>
      </c>
      <c r="C342" t="s">
        <v>17</v>
      </c>
      <c r="D342" t="s">
        <v>22</v>
      </c>
      <c r="E342" t="s">
        <v>41</v>
      </c>
      <c r="F342" t="s">
        <v>28</v>
      </c>
      <c r="G342" t="s">
        <v>20</v>
      </c>
      <c r="H342">
        <v>138.16</v>
      </c>
      <c r="I342">
        <v>20</v>
      </c>
      <c r="J342">
        <v>2763.2</v>
      </c>
      <c r="K342" t="str">
        <f t="shared" si="25"/>
        <v>Aug</v>
      </c>
      <c r="L342" t="str">
        <f t="shared" si="26"/>
        <v>High</v>
      </c>
      <c r="M342" t="str">
        <f t="shared" si="27"/>
        <v>Good</v>
      </c>
      <c r="N342">
        <f t="shared" si="29"/>
        <v>1784.3199999999997</v>
      </c>
      <c r="O342" s="6">
        <v>0.1</v>
      </c>
      <c r="P342">
        <f t="shared" si="28"/>
        <v>2486.88</v>
      </c>
    </row>
    <row r="343" spans="1:16" x14ac:dyDescent="0.25">
      <c r="A343" t="s">
        <v>379</v>
      </c>
      <c r="B343" s="1">
        <v>45806</v>
      </c>
      <c r="C343" t="s">
        <v>38</v>
      </c>
      <c r="D343" t="s">
        <v>26</v>
      </c>
      <c r="E343" t="s">
        <v>27</v>
      </c>
      <c r="F343" t="s">
        <v>61</v>
      </c>
      <c r="G343" t="s">
        <v>36</v>
      </c>
      <c r="H343">
        <v>134.16</v>
      </c>
      <c r="I343">
        <v>10</v>
      </c>
      <c r="J343">
        <v>1341.6</v>
      </c>
      <c r="K343" t="str">
        <f t="shared" si="25"/>
        <v>May</v>
      </c>
      <c r="L343" t="str">
        <f t="shared" si="26"/>
        <v>Low</v>
      </c>
      <c r="M343" t="str">
        <f t="shared" si="27"/>
        <v>Average</v>
      </c>
      <c r="N343">
        <f t="shared" si="29"/>
        <v>-1421.6</v>
      </c>
      <c r="O343" s="6">
        <v>0.1</v>
      </c>
      <c r="P343">
        <f t="shared" si="28"/>
        <v>1207.44</v>
      </c>
    </row>
    <row r="344" spans="1:16" x14ac:dyDescent="0.25">
      <c r="A344" t="s">
        <v>380</v>
      </c>
      <c r="B344" s="1">
        <v>45890</v>
      </c>
      <c r="C344" t="s">
        <v>17</v>
      </c>
      <c r="D344" t="s">
        <v>22</v>
      </c>
      <c r="E344" t="s">
        <v>23</v>
      </c>
      <c r="F344" t="s">
        <v>61</v>
      </c>
      <c r="G344" t="s">
        <v>36</v>
      </c>
      <c r="H344">
        <v>68.099999999999994</v>
      </c>
      <c r="I344">
        <v>3</v>
      </c>
      <c r="J344">
        <v>204.3</v>
      </c>
      <c r="K344" t="str">
        <f t="shared" si="25"/>
        <v>Aug</v>
      </c>
      <c r="L344" t="str">
        <f t="shared" si="26"/>
        <v>Low</v>
      </c>
      <c r="M344" t="str">
        <f t="shared" si="27"/>
        <v>Low</v>
      </c>
      <c r="N344">
        <f t="shared" si="29"/>
        <v>-1137.3</v>
      </c>
      <c r="O344" s="6">
        <v>0.1</v>
      </c>
      <c r="P344">
        <f t="shared" si="28"/>
        <v>183.87</v>
      </c>
    </row>
    <row r="345" spans="1:16" x14ac:dyDescent="0.25">
      <c r="A345" t="s">
        <v>381</v>
      </c>
      <c r="B345" s="1">
        <v>45905</v>
      </c>
      <c r="C345" t="s">
        <v>30</v>
      </c>
      <c r="D345" t="s">
        <v>35</v>
      </c>
      <c r="E345" t="s">
        <v>18</v>
      </c>
      <c r="F345" t="s">
        <v>14</v>
      </c>
      <c r="G345" t="s">
        <v>36</v>
      </c>
      <c r="H345">
        <v>125.45</v>
      </c>
      <c r="I345">
        <v>15</v>
      </c>
      <c r="J345">
        <v>1881.75</v>
      </c>
      <c r="K345" t="str">
        <f t="shared" si="25"/>
        <v>Sep</v>
      </c>
      <c r="L345" t="str">
        <f t="shared" si="26"/>
        <v>Low</v>
      </c>
      <c r="M345" t="str">
        <f t="shared" si="27"/>
        <v>Good</v>
      </c>
      <c r="N345">
        <f t="shared" si="29"/>
        <v>1677.45</v>
      </c>
      <c r="O345" s="6">
        <v>0.1</v>
      </c>
      <c r="P345">
        <f t="shared" si="28"/>
        <v>1693.575</v>
      </c>
    </row>
    <row r="346" spans="1:16" x14ac:dyDescent="0.25">
      <c r="A346" t="s">
        <v>382</v>
      </c>
      <c r="B346" s="1">
        <v>45821</v>
      </c>
      <c r="C346" t="s">
        <v>38</v>
      </c>
      <c r="D346" t="s">
        <v>26</v>
      </c>
      <c r="E346" t="s">
        <v>13</v>
      </c>
      <c r="F346" t="s">
        <v>42</v>
      </c>
      <c r="G346" t="s">
        <v>20</v>
      </c>
      <c r="H346">
        <v>117.67</v>
      </c>
      <c r="I346">
        <v>12</v>
      </c>
      <c r="J346">
        <v>1412.04</v>
      </c>
      <c r="K346" t="str">
        <f t="shared" si="25"/>
        <v>Jun</v>
      </c>
      <c r="L346" t="str">
        <f t="shared" si="26"/>
        <v>Low</v>
      </c>
      <c r="M346" t="str">
        <f t="shared" si="27"/>
        <v>Average</v>
      </c>
      <c r="N346">
        <f t="shared" si="29"/>
        <v>-469.71000000000004</v>
      </c>
      <c r="O346" s="6">
        <v>0.1</v>
      </c>
      <c r="P346">
        <f t="shared" si="28"/>
        <v>1270.836</v>
      </c>
    </row>
    <row r="347" spans="1:16" x14ac:dyDescent="0.25">
      <c r="A347" t="s">
        <v>383</v>
      </c>
      <c r="B347" s="1">
        <v>45712</v>
      </c>
      <c r="C347" t="s">
        <v>30</v>
      </c>
      <c r="D347" t="s">
        <v>31</v>
      </c>
      <c r="E347" t="s">
        <v>45</v>
      </c>
      <c r="F347" t="s">
        <v>32</v>
      </c>
      <c r="G347" t="s">
        <v>36</v>
      </c>
      <c r="H347">
        <v>165.49</v>
      </c>
      <c r="I347">
        <v>11</v>
      </c>
      <c r="J347">
        <v>1820.39</v>
      </c>
      <c r="K347" t="str">
        <f t="shared" si="25"/>
        <v>Feb</v>
      </c>
      <c r="L347" t="str">
        <f t="shared" si="26"/>
        <v>Low</v>
      </c>
      <c r="M347" t="str">
        <f t="shared" si="27"/>
        <v>Good</v>
      </c>
      <c r="N347">
        <f t="shared" si="29"/>
        <v>408.35000000000014</v>
      </c>
      <c r="O347" s="6">
        <v>0.1</v>
      </c>
      <c r="P347">
        <f t="shared" si="28"/>
        <v>1638.3510000000001</v>
      </c>
    </row>
    <row r="348" spans="1:16" x14ac:dyDescent="0.25">
      <c r="A348" t="s">
        <v>384</v>
      </c>
      <c r="B348" s="1">
        <v>45784</v>
      </c>
      <c r="C348" t="s">
        <v>11</v>
      </c>
      <c r="D348" t="s">
        <v>22</v>
      </c>
      <c r="E348" t="s">
        <v>13</v>
      </c>
      <c r="F348" t="s">
        <v>61</v>
      </c>
      <c r="G348" t="s">
        <v>20</v>
      </c>
      <c r="H348">
        <v>169.72</v>
      </c>
      <c r="I348">
        <v>5</v>
      </c>
      <c r="J348">
        <v>848.6</v>
      </c>
      <c r="K348" t="str">
        <f t="shared" si="25"/>
        <v>May</v>
      </c>
      <c r="L348" t="str">
        <f t="shared" si="26"/>
        <v>Low</v>
      </c>
      <c r="M348" t="str">
        <f t="shared" si="27"/>
        <v>Average</v>
      </c>
      <c r="N348">
        <f t="shared" si="29"/>
        <v>-971.79000000000008</v>
      </c>
      <c r="O348" s="6">
        <v>0.1</v>
      </c>
      <c r="P348">
        <f t="shared" si="28"/>
        <v>763.74</v>
      </c>
    </row>
    <row r="349" spans="1:16" x14ac:dyDescent="0.25">
      <c r="A349" t="s">
        <v>385</v>
      </c>
      <c r="B349" s="1">
        <v>45872</v>
      </c>
      <c r="C349" t="s">
        <v>30</v>
      </c>
      <c r="D349" t="s">
        <v>35</v>
      </c>
      <c r="E349" t="s">
        <v>18</v>
      </c>
      <c r="F349" t="s">
        <v>28</v>
      </c>
      <c r="G349" t="s">
        <v>36</v>
      </c>
      <c r="H349">
        <v>39.97</v>
      </c>
      <c r="I349">
        <v>8</v>
      </c>
      <c r="J349">
        <v>319.76</v>
      </c>
      <c r="K349" t="str">
        <f t="shared" si="25"/>
        <v>Aug</v>
      </c>
      <c r="L349" t="str">
        <f t="shared" si="26"/>
        <v>Low</v>
      </c>
      <c r="M349" t="str">
        <f t="shared" si="27"/>
        <v>Low</v>
      </c>
      <c r="N349">
        <f t="shared" si="29"/>
        <v>-528.84</v>
      </c>
      <c r="O349" s="6">
        <v>0.1</v>
      </c>
      <c r="P349">
        <f t="shared" si="28"/>
        <v>287.78399999999999</v>
      </c>
    </row>
    <row r="350" spans="1:16" x14ac:dyDescent="0.25">
      <c r="A350" t="s">
        <v>386</v>
      </c>
      <c r="B350" s="1">
        <v>45755</v>
      </c>
      <c r="C350" t="s">
        <v>38</v>
      </c>
      <c r="D350" t="s">
        <v>55</v>
      </c>
      <c r="E350" t="s">
        <v>41</v>
      </c>
      <c r="F350" t="s">
        <v>61</v>
      </c>
      <c r="G350" t="s">
        <v>36</v>
      </c>
      <c r="H350">
        <v>112.41</v>
      </c>
      <c r="I350">
        <v>6</v>
      </c>
      <c r="J350">
        <v>674.46</v>
      </c>
      <c r="K350" t="str">
        <f t="shared" si="25"/>
        <v>Apr</v>
      </c>
      <c r="L350" t="str">
        <f t="shared" si="26"/>
        <v>Low</v>
      </c>
      <c r="M350" t="str">
        <f t="shared" si="27"/>
        <v>Average</v>
      </c>
      <c r="N350">
        <f t="shared" si="29"/>
        <v>354.70000000000005</v>
      </c>
      <c r="O350" s="6">
        <v>0.1</v>
      </c>
      <c r="P350">
        <f t="shared" si="28"/>
        <v>607.01400000000001</v>
      </c>
    </row>
    <row r="351" spans="1:16" x14ac:dyDescent="0.25">
      <c r="A351" t="s">
        <v>387</v>
      </c>
      <c r="B351" s="1">
        <v>45912</v>
      </c>
      <c r="C351" t="s">
        <v>11</v>
      </c>
      <c r="D351" t="s">
        <v>31</v>
      </c>
      <c r="E351" t="s">
        <v>18</v>
      </c>
      <c r="F351" t="s">
        <v>61</v>
      </c>
      <c r="G351" t="s">
        <v>15</v>
      </c>
      <c r="H351">
        <v>167.69</v>
      </c>
      <c r="I351">
        <v>1</v>
      </c>
      <c r="J351">
        <v>167.69</v>
      </c>
      <c r="K351" t="str">
        <f t="shared" si="25"/>
        <v>Sep</v>
      </c>
      <c r="L351" t="str">
        <f t="shared" si="26"/>
        <v>Low</v>
      </c>
      <c r="M351" t="str">
        <f t="shared" si="27"/>
        <v>Low</v>
      </c>
      <c r="N351">
        <f t="shared" si="29"/>
        <v>-506.77000000000004</v>
      </c>
      <c r="O351" s="6">
        <v>0.1</v>
      </c>
      <c r="P351">
        <f t="shared" si="28"/>
        <v>150.92099999999999</v>
      </c>
    </row>
    <row r="352" spans="1:16" x14ac:dyDescent="0.25">
      <c r="A352" t="s">
        <v>388</v>
      </c>
      <c r="B352" s="1">
        <v>45768</v>
      </c>
      <c r="C352" t="s">
        <v>34</v>
      </c>
      <c r="D352" t="s">
        <v>22</v>
      </c>
      <c r="E352" t="s">
        <v>45</v>
      </c>
      <c r="F352" t="s">
        <v>32</v>
      </c>
      <c r="G352" t="s">
        <v>36</v>
      </c>
      <c r="H352">
        <v>140.69</v>
      </c>
      <c r="I352">
        <v>19</v>
      </c>
      <c r="J352">
        <v>2673.11</v>
      </c>
      <c r="K352" t="str">
        <f t="shared" si="25"/>
        <v>Apr</v>
      </c>
      <c r="L352" t="str">
        <f t="shared" si="26"/>
        <v>High</v>
      </c>
      <c r="M352" t="str">
        <f t="shared" si="27"/>
        <v>Good</v>
      </c>
      <c r="N352">
        <f t="shared" si="29"/>
        <v>2505.42</v>
      </c>
      <c r="O352" s="6">
        <v>0.1</v>
      </c>
      <c r="P352">
        <f t="shared" si="28"/>
        <v>2405.799</v>
      </c>
    </row>
    <row r="353" spans="1:16" x14ac:dyDescent="0.25">
      <c r="A353" t="s">
        <v>389</v>
      </c>
      <c r="B353" s="1">
        <v>45963</v>
      </c>
      <c r="C353" t="s">
        <v>34</v>
      </c>
      <c r="D353" t="s">
        <v>55</v>
      </c>
      <c r="E353" t="s">
        <v>45</v>
      </c>
      <c r="F353" t="s">
        <v>39</v>
      </c>
      <c r="G353" t="s">
        <v>15</v>
      </c>
      <c r="H353">
        <v>218.43</v>
      </c>
      <c r="I353">
        <v>16</v>
      </c>
      <c r="J353">
        <v>3494.88</v>
      </c>
      <c r="K353" t="str">
        <f t="shared" si="25"/>
        <v>Nov</v>
      </c>
      <c r="L353" t="str">
        <f t="shared" si="26"/>
        <v>High</v>
      </c>
      <c r="M353" t="str">
        <f t="shared" si="27"/>
        <v>Excellent</v>
      </c>
      <c r="N353">
        <f t="shared" si="29"/>
        <v>821.77</v>
      </c>
      <c r="O353" s="6">
        <v>0.1</v>
      </c>
      <c r="P353">
        <f t="shared" si="28"/>
        <v>3145.3920000000003</v>
      </c>
    </row>
    <row r="354" spans="1:16" x14ac:dyDescent="0.25">
      <c r="A354" t="s">
        <v>390</v>
      </c>
      <c r="B354" s="1">
        <v>45878</v>
      </c>
      <c r="C354" t="s">
        <v>34</v>
      </c>
      <c r="D354" t="s">
        <v>12</v>
      </c>
      <c r="E354" t="s">
        <v>13</v>
      </c>
      <c r="F354" t="s">
        <v>39</v>
      </c>
      <c r="G354" t="s">
        <v>36</v>
      </c>
      <c r="H354">
        <v>174.91</v>
      </c>
      <c r="I354">
        <v>5</v>
      </c>
      <c r="J354">
        <v>874.55</v>
      </c>
      <c r="K354" t="str">
        <f t="shared" si="25"/>
        <v>Aug</v>
      </c>
      <c r="L354" t="str">
        <f t="shared" si="26"/>
        <v>Low</v>
      </c>
      <c r="M354" t="str">
        <f t="shared" si="27"/>
        <v>Average</v>
      </c>
      <c r="N354">
        <f t="shared" si="29"/>
        <v>-2620.33</v>
      </c>
      <c r="O354" s="6">
        <v>0.1</v>
      </c>
      <c r="P354">
        <f t="shared" si="28"/>
        <v>787.09500000000003</v>
      </c>
    </row>
    <row r="355" spans="1:16" x14ac:dyDescent="0.25">
      <c r="A355" t="s">
        <v>391</v>
      </c>
      <c r="B355" s="1">
        <v>45845</v>
      </c>
      <c r="C355" t="s">
        <v>38</v>
      </c>
      <c r="D355" t="s">
        <v>22</v>
      </c>
      <c r="E355" t="s">
        <v>18</v>
      </c>
      <c r="F355" t="s">
        <v>42</v>
      </c>
      <c r="G355" t="s">
        <v>15</v>
      </c>
      <c r="H355">
        <v>65.849999999999994</v>
      </c>
      <c r="I355">
        <v>2</v>
      </c>
      <c r="J355">
        <v>131.69999999999999</v>
      </c>
      <c r="K355" t="str">
        <f t="shared" si="25"/>
        <v>Jul</v>
      </c>
      <c r="L355" t="str">
        <f t="shared" si="26"/>
        <v>Low</v>
      </c>
      <c r="M355" t="str">
        <f t="shared" si="27"/>
        <v>Low</v>
      </c>
      <c r="N355">
        <f t="shared" si="29"/>
        <v>-742.84999999999991</v>
      </c>
      <c r="O355" s="6">
        <v>0.1</v>
      </c>
      <c r="P355">
        <f t="shared" si="28"/>
        <v>118.52999999999999</v>
      </c>
    </row>
    <row r="356" spans="1:16" x14ac:dyDescent="0.25">
      <c r="A356" t="s">
        <v>392</v>
      </c>
      <c r="B356" s="1">
        <v>45843</v>
      </c>
      <c r="C356" t="s">
        <v>34</v>
      </c>
      <c r="D356" t="s">
        <v>22</v>
      </c>
      <c r="E356" t="s">
        <v>41</v>
      </c>
      <c r="F356" t="s">
        <v>42</v>
      </c>
      <c r="G356" t="s">
        <v>36</v>
      </c>
      <c r="H356">
        <v>45.53</v>
      </c>
      <c r="I356">
        <v>18</v>
      </c>
      <c r="J356">
        <v>819.54</v>
      </c>
      <c r="K356" t="str">
        <f t="shared" si="25"/>
        <v>Jul</v>
      </c>
      <c r="L356" t="str">
        <f t="shared" si="26"/>
        <v>Low</v>
      </c>
      <c r="M356" t="str">
        <f t="shared" si="27"/>
        <v>Average</v>
      </c>
      <c r="N356">
        <f t="shared" si="29"/>
        <v>687.83999999999992</v>
      </c>
      <c r="O356" s="6">
        <v>0.1</v>
      </c>
      <c r="P356">
        <f t="shared" si="28"/>
        <v>737.58600000000001</v>
      </c>
    </row>
    <row r="357" spans="1:16" x14ac:dyDescent="0.25">
      <c r="A357" t="s">
        <v>393</v>
      </c>
      <c r="B357" s="1">
        <v>45939</v>
      </c>
      <c r="C357" t="s">
        <v>25</v>
      </c>
      <c r="D357" t="s">
        <v>12</v>
      </c>
      <c r="E357" t="s">
        <v>18</v>
      </c>
      <c r="F357" t="s">
        <v>19</v>
      </c>
      <c r="G357" t="s">
        <v>15</v>
      </c>
      <c r="H357">
        <v>171.33</v>
      </c>
      <c r="I357">
        <v>9</v>
      </c>
      <c r="J357">
        <v>1541.97</v>
      </c>
      <c r="K357" t="str">
        <f t="shared" si="25"/>
        <v>Oct</v>
      </c>
      <c r="L357" t="str">
        <f t="shared" si="26"/>
        <v>Low</v>
      </c>
      <c r="M357" t="str">
        <f t="shared" si="27"/>
        <v>Good</v>
      </c>
      <c r="N357">
        <f t="shared" si="29"/>
        <v>722.43000000000006</v>
      </c>
      <c r="O357" s="6">
        <v>0.1</v>
      </c>
      <c r="P357">
        <f t="shared" si="28"/>
        <v>1387.7730000000001</v>
      </c>
    </row>
    <row r="358" spans="1:16" x14ac:dyDescent="0.25">
      <c r="A358" t="s">
        <v>394</v>
      </c>
      <c r="B358" s="1">
        <v>45707</v>
      </c>
      <c r="C358" t="s">
        <v>34</v>
      </c>
      <c r="D358" t="s">
        <v>35</v>
      </c>
      <c r="E358" t="s">
        <v>18</v>
      </c>
      <c r="F358" t="s">
        <v>32</v>
      </c>
      <c r="G358" t="s">
        <v>15</v>
      </c>
      <c r="H358">
        <v>35.83</v>
      </c>
      <c r="I358">
        <v>13</v>
      </c>
      <c r="J358">
        <v>465.79</v>
      </c>
      <c r="K358" t="str">
        <f t="shared" si="25"/>
        <v>Feb</v>
      </c>
      <c r="L358" t="str">
        <f t="shared" si="26"/>
        <v>Low</v>
      </c>
      <c r="M358" t="str">
        <f t="shared" si="27"/>
        <v>Low</v>
      </c>
      <c r="N358">
        <f t="shared" si="29"/>
        <v>-1076.18</v>
      </c>
      <c r="O358" s="6">
        <v>0.1</v>
      </c>
      <c r="P358">
        <f t="shared" si="28"/>
        <v>419.21100000000001</v>
      </c>
    </row>
    <row r="359" spans="1:16" x14ac:dyDescent="0.25">
      <c r="A359" t="s">
        <v>395</v>
      </c>
      <c r="B359" s="1">
        <v>45759</v>
      </c>
      <c r="C359" t="s">
        <v>25</v>
      </c>
      <c r="D359" t="s">
        <v>31</v>
      </c>
      <c r="E359" t="s">
        <v>18</v>
      </c>
      <c r="F359" t="s">
        <v>19</v>
      </c>
      <c r="G359" t="s">
        <v>15</v>
      </c>
      <c r="H359">
        <v>158.87</v>
      </c>
      <c r="I359">
        <v>20</v>
      </c>
      <c r="J359">
        <v>3177.4</v>
      </c>
      <c r="K359" t="str">
        <f t="shared" si="25"/>
        <v>Apr</v>
      </c>
      <c r="L359" t="str">
        <f t="shared" si="26"/>
        <v>High</v>
      </c>
      <c r="M359" t="str">
        <f t="shared" si="27"/>
        <v>Excellent</v>
      </c>
      <c r="N359">
        <f t="shared" si="29"/>
        <v>2711.61</v>
      </c>
      <c r="O359" s="6">
        <v>0.1</v>
      </c>
      <c r="P359">
        <f t="shared" si="28"/>
        <v>2859.6600000000003</v>
      </c>
    </row>
    <row r="360" spans="1:16" x14ac:dyDescent="0.25">
      <c r="A360" t="s">
        <v>396</v>
      </c>
      <c r="B360" s="1">
        <v>45677</v>
      </c>
      <c r="C360" t="s">
        <v>17</v>
      </c>
      <c r="D360" t="s">
        <v>35</v>
      </c>
      <c r="E360" t="s">
        <v>41</v>
      </c>
      <c r="F360" t="s">
        <v>42</v>
      </c>
      <c r="G360" t="s">
        <v>36</v>
      </c>
      <c r="H360">
        <v>236.85</v>
      </c>
      <c r="I360">
        <v>5</v>
      </c>
      <c r="J360">
        <v>1184.25</v>
      </c>
      <c r="K360" t="str">
        <f t="shared" si="25"/>
        <v>Jan</v>
      </c>
      <c r="L360" t="str">
        <f t="shared" si="26"/>
        <v>Low</v>
      </c>
      <c r="M360" t="str">
        <f t="shared" si="27"/>
        <v>Average</v>
      </c>
      <c r="N360">
        <f t="shared" si="29"/>
        <v>-1993.15</v>
      </c>
      <c r="O360" s="6">
        <v>0.1</v>
      </c>
      <c r="P360">
        <f t="shared" si="28"/>
        <v>1065.825</v>
      </c>
    </row>
    <row r="361" spans="1:16" x14ac:dyDescent="0.25">
      <c r="A361" t="s">
        <v>397</v>
      </c>
      <c r="B361" s="1">
        <v>45734</v>
      </c>
      <c r="C361" t="s">
        <v>25</v>
      </c>
      <c r="D361" t="s">
        <v>26</v>
      </c>
      <c r="E361" t="s">
        <v>13</v>
      </c>
      <c r="F361" t="s">
        <v>42</v>
      </c>
      <c r="G361" t="s">
        <v>36</v>
      </c>
      <c r="H361">
        <v>156.6</v>
      </c>
      <c r="I361">
        <v>20</v>
      </c>
      <c r="J361">
        <v>3132</v>
      </c>
      <c r="K361" t="str">
        <f t="shared" si="25"/>
        <v>Mar</v>
      </c>
      <c r="L361" t="str">
        <f t="shared" si="26"/>
        <v>High</v>
      </c>
      <c r="M361" t="str">
        <f t="shared" si="27"/>
        <v>Excellent</v>
      </c>
      <c r="N361">
        <f t="shared" si="29"/>
        <v>1947.75</v>
      </c>
      <c r="O361" s="6">
        <v>0.1</v>
      </c>
      <c r="P361">
        <f t="shared" si="28"/>
        <v>2818.8</v>
      </c>
    </row>
    <row r="362" spans="1:16" x14ac:dyDescent="0.25">
      <c r="A362" t="s">
        <v>398</v>
      </c>
      <c r="B362" s="1">
        <v>45741</v>
      </c>
      <c r="C362" t="s">
        <v>25</v>
      </c>
      <c r="D362" t="s">
        <v>12</v>
      </c>
      <c r="E362" t="s">
        <v>13</v>
      </c>
      <c r="F362" t="s">
        <v>42</v>
      </c>
      <c r="G362" t="s">
        <v>36</v>
      </c>
      <c r="H362">
        <v>115.4</v>
      </c>
      <c r="I362">
        <v>13</v>
      </c>
      <c r="J362">
        <v>1500.2</v>
      </c>
      <c r="K362" t="str">
        <f t="shared" si="25"/>
        <v>Mar</v>
      </c>
      <c r="L362" t="str">
        <f t="shared" si="26"/>
        <v>Low</v>
      </c>
      <c r="M362" t="str">
        <f t="shared" si="27"/>
        <v>Good</v>
      </c>
      <c r="N362">
        <f t="shared" si="29"/>
        <v>-1631.8</v>
      </c>
      <c r="O362" s="6">
        <v>0.1</v>
      </c>
      <c r="P362">
        <f t="shared" si="28"/>
        <v>1350.18</v>
      </c>
    </row>
    <row r="363" spans="1:16" x14ac:dyDescent="0.25">
      <c r="A363" t="s">
        <v>399</v>
      </c>
      <c r="B363" s="1">
        <v>45917</v>
      </c>
      <c r="C363" t="s">
        <v>25</v>
      </c>
      <c r="D363" t="s">
        <v>31</v>
      </c>
      <c r="E363" t="s">
        <v>27</v>
      </c>
      <c r="F363" t="s">
        <v>42</v>
      </c>
      <c r="G363" t="s">
        <v>36</v>
      </c>
      <c r="H363">
        <v>171.52</v>
      </c>
      <c r="I363">
        <v>17</v>
      </c>
      <c r="J363">
        <v>2915.84</v>
      </c>
      <c r="K363" t="str">
        <f t="shared" si="25"/>
        <v>Sep</v>
      </c>
      <c r="L363" t="str">
        <f t="shared" si="26"/>
        <v>High</v>
      </c>
      <c r="M363" t="str">
        <f t="shared" si="27"/>
        <v>Good</v>
      </c>
      <c r="N363">
        <f t="shared" si="29"/>
        <v>1415.64</v>
      </c>
      <c r="O363" s="6">
        <v>0.1</v>
      </c>
      <c r="P363">
        <f t="shared" si="28"/>
        <v>2624.2560000000003</v>
      </c>
    </row>
    <row r="364" spans="1:16" x14ac:dyDescent="0.25">
      <c r="A364" t="s">
        <v>400</v>
      </c>
      <c r="B364" s="1">
        <v>45901</v>
      </c>
      <c r="C364" t="s">
        <v>34</v>
      </c>
      <c r="D364" t="s">
        <v>35</v>
      </c>
      <c r="E364" t="s">
        <v>27</v>
      </c>
      <c r="F364" t="s">
        <v>19</v>
      </c>
      <c r="G364" t="s">
        <v>36</v>
      </c>
      <c r="H364">
        <v>130.82</v>
      </c>
      <c r="I364">
        <v>1</v>
      </c>
      <c r="J364">
        <v>130.82</v>
      </c>
      <c r="K364" t="str">
        <f t="shared" si="25"/>
        <v>Sep</v>
      </c>
      <c r="L364" t="str">
        <f t="shared" si="26"/>
        <v>Low</v>
      </c>
      <c r="M364" t="str">
        <f t="shared" si="27"/>
        <v>Low</v>
      </c>
      <c r="N364">
        <f t="shared" si="29"/>
        <v>-2785.02</v>
      </c>
      <c r="O364" s="6">
        <v>0.1</v>
      </c>
      <c r="P364">
        <f t="shared" si="28"/>
        <v>117.738</v>
      </c>
    </row>
    <row r="365" spans="1:16" x14ac:dyDescent="0.25">
      <c r="A365" t="s">
        <v>401</v>
      </c>
      <c r="B365" s="1">
        <v>45956</v>
      </c>
      <c r="C365" t="s">
        <v>17</v>
      </c>
      <c r="D365" t="s">
        <v>12</v>
      </c>
      <c r="E365" t="s">
        <v>27</v>
      </c>
      <c r="F365" t="s">
        <v>19</v>
      </c>
      <c r="G365" t="s">
        <v>20</v>
      </c>
      <c r="H365">
        <v>150.04</v>
      </c>
      <c r="I365">
        <v>10</v>
      </c>
      <c r="J365">
        <v>1500.4</v>
      </c>
      <c r="K365" t="str">
        <f t="shared" si="25"/>
        <v>Oct</v>
      </c>
      <c r="L365" t="str">
        <f t="shared" si="26"/>
        <v>Low</v>
      </c>
      <c r="M365" t="str">
        <f t="shared" si="27"/>
        <v>Good</v>
      </c>
      <c r="N365">
        <f t="shared" si="29"/>
        <v>1369.5800000000002</v>
      </c>
      <c r="O365" s="6">
        <v>0.1</v>
      </c>
      <c r="P365">
        <f t="shared" si="28"/>
        <v>1350.3600000000001</v>
      </c>
    </row>
    <row r="366" spans="1:16" x14ac:dyDescent="0.25">
      <c r="A366" t="s">
        <v>402</v>
      </c>
      <c r="B366" s="1">
        <v>45900</v>
      </c>
      <c r="C366" t="s">
        <v>17</v>
      </c>
      <c r="D366" t="s">
        <v>55</v>
      </c>
      <c r="E366" t="s">
        <v>18</v>
      </c>
      <c r="F366" t="s">
        <v>14</v>
      </c>
      <c r="G366" t="s">
        <v>20</v>
      </c>
      <c r="H366">
        <v>237.12</v>
      </c>
      <c r="I366">
        <v>9</v>
      </c>
      <c r="J366">
        <v>2134.08</v>
      </c>
      <c r="K366" t="str">
        <f t="shared" si="25"/>
        <v>Aug</v>
      </c>
      <c r="L366" t="str">
        <f t="shared" si="26"/>
        <v>High</v>
      </c>
      <c r="M366" t="str">
        <f t="shared" si="27"/>
        <v>Good</v>
      </c>
      <c r="N366">
        <f t="shared" si="29"/>
        <v>633.67999999999984</v>
      </c>
      <c r="O366" s="6">
        <v>0.1</v>
      </c>
      <c r="P366">
        <f t="shared" si="28"/>
        <v>1920.672</v>
      </c>
    </row>
    <row r="367" spans="1:16" x14ac:dyDescent="0.25">
      <c r="A367" t="s">
        <v>403</v>
      </c>
      <c r="B367" s="1">
        <v>45684</v>
      </c>
      <c r="C367" t="s">
        <v>38</v>
      </c>
      <c r="D367" t="s">
        <v>26</v>
      </c>
      <c r="E367" t="s">
        <v>18</v>
      </c>
      <c r="F367" t="s">
        <v>28</v>
      </c>
      <c r="G367" t="s">
        <v>20</v>
      </c>
      <c r="H367">
        <v>114.94</v>
      </c>
      <c r="I367">
        <v>19</v>
      </c>
      <c r="J367">
        <v>2183.86</v>
      </c>
      <c r="K367" t="str">
        <f t="shared" si="25"/>
        <v>Jan</v>
      </c>
      <c r="L367" t="str">
        <f t="shared" si="26"/>
        <v>High</v>
      </c>
      <c r="M367" t="str">
        <f t="shared" si="27"/>
        <v>Good</v>
      </c>
      <c r="N367">
        <f t="shared" si="29"/>
        <v>49.7800000000002</v>
      </c>
      <c r="O367" s="6">
        <v>0.1</v>
      </c>
      <c r="P367">
        <f t="shared" si="28"/>
        <v>1965.4740000000002</v>
      </c>
    </row>
    <row r="368" spans="1:16" x14ac:dyDescent="0.25">
      <c r="A368" t="s">
        <v>404</v>
      </c>
      <c r="B368" s="1">
        <v>45975</v>
      </c>
      <c r="C368" t="s">
        <v>30</v>
      </c>
      <c r="D368" t="s">
        <v>12</v>
      </c>
      <c r="E368" t="s">
        <v>23</v>
      </c>
      <c r="F368" t="s">
        <v>19</v>
      </c>
      <c r="G368" t="s">
        <v>20</v>
      </c>
      <c r="H368">
        <v>241.46</v>
      </c>
      <c r="I368">
        <v>13</v>
      </c>
      <c r="J368">
        <v>3138.98</v>
      </c>
      <c r="K368" t="str">
        <f t="shared" si="25"/>
        <v>Nov</v>
      </c>
      <c r="L368" t="str">
        <f t="shared" si="26"/>
        <v>High</v>
      </c>
      <c r="M368" t="str">
        <f t="shared" si="27"/>
        <v>Excellent</v>
      </c>
      <c r="N368">
        <f t="shared" si="29"/>
        <v>955.11999999999989</v>
      </c>
      <c r="O368" s="6">
        <v>0.1</v>
      </c>
      <c r="P368">
        <f t="shared" si="28"/>
        <v>2825.0819999999999</v>
      </c>
    </row>
    <row r="369" spans="1:16" x14ac:dyDescent="0.25">
      <c r="A369" t="s">
        <v>405</v>
      </c>
      <c r="B369" s="1">
        <v>46016</v>
      </c>
      <c r="C369" t="s">
        <v>30</v>
      </c>
      <c r="D369" t="s">
        <v>22</v>
      </c>
      <c r="E369" t="s">
        <v>41</v>
      </c>
      <c r="F369" t="s">
        <v>32</v>
      </c>
      <c r="G369" t="s">
        <v>36</v>
      </c>
      <c r="H369">
        <v>229.18</v>
      </c>
      <c r="I369">
        <v>4</v>
      </c>
      <c r="J369">
        <v>916.72</v>
      </c>
      <c r="K369" t="str">
        <f t="shared" si="25"/>
        <v>Dec</v>
      </c>
      <c r="L369" t="str">
        <f t="shared" si="26"/>
        <v>Low</v>
      </c>
      <c r="M369" t="str">
        <f t="shared" si="27"/>
        <v>Average</v>
      </c>
      <c r="N369">
        <f t="shared" si="29"/>
        <v>-2222.2600000000002</v>
      </c>
      <c r="O369" s="6">
        <v>0.1</v>
      </c>
      <c r="P369">
        <f t="shared" si="28"/>
        <v>825.048</v>
      </c>
    </row>
    <row r="370" spans="1:16" x14ac:dyDescent="0.25">
      <c r="A370" t="s">
        <v>406</v>
      </c>
      <c r="B370" s="1">
        <v>45735</v>
      </c>
      <c r="C370" t="s">
        <v>17</v>
      </c>
      <c r="D370" t="s">
        <v>26</v>
      </c>
      <c r="E370" t="s">
        <v>41</v>
      </c>
      <c r="F370" t="s">
        <v>42</v>
      </c>
      <c r="G370" t="s">
        <v>20</v>
      </c>
      <c r="H370">
        <v>73.069999999999993</v>
      </c>
      <c r="I370">
        <v>14</v>
      </c>
      <c r="J370">
        <v>1022.98</v>
      </c>
      <c r="K370" t="str">
        <f t="shared" si="25"/>
        <v>Mar</v>
      </c>
      <c r="L370" t="str">
        <f t="shared" si="26"/>
        <v>Low</v>
      </c>
      <c r="M370" t="str">
        <f t="shared" si="27"/>
        <v>Average</v>
      </c>
      <c r="N370">
        <f t="shared" si="29"/>
        <v>106.25999999999999</v>
      </c>
      <c r="O370" s="6">
        <v>0.1</v>
      </c>
      <c r="P370">
        <f t="shared" si="28"/>
        <v>920.68200000000002</v>
      </c>
    </row>
    <row r="371" spans="1:16" x14ac:dyDescent="0.25">
      <c r="A371" t="s">
        <v>407</v>
      </c>
      <c r="B371" s="1">
        <v>45899</v>
      </c>
      <c r="C371" t="s">
        <v>17</v>
      </c>
      <c r="D371" t="s">
        <v>26</v>
      </c>
      <c r="E371" t="s">
        <v>18</v>
      </c>
      <c r="F371" t="s">
        <v>14</v>
      </c>
      <c r="G371" t="s">
        <v>20</v>
      </c>
      <c r="H371">
        <v>45.26</v>
      </c>
      <c r="I371">
        <v>2</v>
      </c>
      <c r="J371">
        <v>90.52</v>
      </c>
      <c r="K371" t="str">
        <f t="shared" si="25"/>
        <v>Aug</v>
      </c>
      <c r="L371" t="str">
        <f t="shared" si="26"/>
        <v>Low</v>
      </c>
      <c r="M371" t="str">
        <f t="shared" si="27"/>
        <v>Low</v>
      </c>
      <c r="N371">
        <f t="shared" si="29"/>
        <v>-932.46</v>
      </c>
      <c r="O371" s="6">
        <v>0.1</v>
      </c>
      <c r="P371">
        <f t="shared" si="28"/>
        <v>81.468000000000004</v>
      </c>
    </row>
    <row r="372" spans="1:16" x14ac:dyDescent="0.25">
      <c r="A372" t="s">
        <v>408</v>
      </c>
      <c r="B372" s="1">
        <v>45824</v>
      </c>
      <c r="C372" t="s">
        <v>25</v>
      </c>
      <c r="D372" t="s">
        <v>31</v>
      </c>
      <c r="E372" t="s">
        <v>13</v>
      </c>
      <c r="F372" t="s">
        <v>14</v>
      </c>
      <c r="G372" t="s">
        <v>36</v>
      </c>
      <c r="H372">
        <v>52.17</v>
      </c>
      <c r="I372">
        <v>16</v>
      </c>
      <c r="J372">
        <v>834.72</v>
      </c>
      <c r="K372" t="str">
        <f t="shared" si="25"/>
        <v>Jun</v>
      </c>
      <c r="L372" t="str">
        <f t="shared" si="26"/>
        <v>Low</v>
      </c>
      <c r="M372" t="str">
        <f t="shared" si="27"/>
        <v>Average</v>
      </c>
      <c r="N372">
        <f t="shared" si="29"/>
        <v>744.2</v>
      </c>
      <c r="O372" s="6">
        <v>0.1</v>
      </c>
      <c r="P372">
        <f t="shared" si="28"/>
        <v>751.24800000000005</v>
      </c>
    </row>
    <row r="373" spans="1:16" x14ac:dyDescent="0.25">
      <c r="A373" t="s">
        <v>409</v>
      </c>
      <c r="B373" s="1">
        <v>45930</v>
      </c>
      <c r="C373" t="s">
        <v>25</v>
      </c>
      <c r="D373" t="s">
        <v>35</v>
      </c>
      <c r="E373" t="s">
        <v>27</v>
      </c>
      <c r="F373" t="s">
        <v>39</v>
      </c>
      <c r="G373" t="s">
        <v>20</v>
      </c>
      <c r="H373">
        <v>34.01</v>
      </c>
      <c r="I373">
        <v>11</v>
      </c>
      <c r="J373">
        <v>374.11</v>
      </c>
      <c r="K373" t="str">
        <f t="shared" si="25"/>
        <v>Sep</v>
      </c>
      <c r="L373" t="str">
        <f t="shared" si="26"/>
        <v>Low</v>
      </c>
      <c r="M373" t="str">
        <f t="shared" si="27"/>
        <v>Low</v>
      </c>
      <c r="N373">
        <f t="shared" si="29"/>
        <v>-460.61</v>
      </c>
      <c r="O373" s="6">
        <v>0.1</v>
      </c>
      <c r="P373">
        <f t="shared" si="28"/>
        <v>336.69900000000001</v>
      </c>
    </row>
    <row r="374" spans="1:16" x14ac:dyDescent="0.25">
      <c r="A374" t="s">
        <v>410</v>
      </c>
      <c r="B374" s="1">
        <v>46006</v>
      </c>
      <c r="C374" t="s">
        <v>25</v>
      </c>
      <c r="D374" t="s">
        <v>31</v>
      </c>
      <c r="E374" t="s">
        <v>23</v>
      </c>
      <c r="F374" t="s">
        <v>14</v>
      </c>
      <c r="G374" t="s">
        <v>36</v>
      </c>
      <c r="H374">
        <v>50.78</v>
      </c>
      <c r="I374">
        <v>9</v>
      </c>
      <c r="J374">
        <v>457.02</v>
      </c>
      <c r="K374" t="str">
        <f t="shared" si="25"/>
        <v>Dec</v>
      </c>
      <c r="L374" t="str">
        <f t="shared" si="26"/>
        <v>Low</v>
      </c>
      <c r="M374" t="str">
        <f t="shared" si="27"/>
        <v>Low</v>
      </c>
      <c r="N374">
        <f t="shared" si="29"/>
        <v>82.909999999999968</v>
      </c>
      <c r="O374" s="6">
        <v>0.1</v>
      </c>
      <c r="P374">
        <f t="shared" si="28"/>
        <v>411.31799999999998</v>
      </c>
    </row>
    <row r="375" spans="1:16" x14ac:dyDescent="0.25">
      <c r="A375" t="s">
        <v>411</v>
      </c>
      <c r="B375" s="1">
        <v>45943</v>
      </c>
      <c r="C375" t="s">
        <v>30</v>
      </c>
      <c r="D375" t="s">
        <v>35</v>
      </c>
      <c r="E375" t="s">
        <v>13</v>
      </c>
      <c r="F375" t="s">
        <v>28</v>
      </c>
      <c r="G375" t="s">
        <v>15</v>
      </c>
      <c r="H375">
        <v>180.26</v>
      </c>
      <c r="I375">
        <v>10</v>
      </c>
      <c r="J375">
        <v>1802.6</v>
      </c>
      <c r="K375" t="str">
        <f t="shared" si="25"/>
        <v>Oct</v>
      </c>
      <c r="L375" t="str">
        <f t="shared" si="26"/>
        <v>Low</v>
      </c>
      <c r="M375" t="str">
        <f t="shared" si="27"/>
        <v>Good</v>
      </c>
      <c r="N375">
        <f t="shared" si="29"/>
        <v>1345.58</v>
      </c>
      <c r="O375" s="6">
        <v>0.1</v>
      </c>
      <c r="P375">
        <f t="shared" si="28"/>
        <v>1622.34</v>
      </c>
    </row>
    <row r="376" spans="1:16" x14ac:dyDescent="0.25">
      <c r="A376" t="s">
        <v>412</v>
      </c>
      <c r="B376" s="1">
        <v>46011</v>
      </c>
      <c r="C376" t="s">
        <v>34</v>
      </c>
      <c r="D376" t="s">
        <v>31</v>
      </c>
      <c r="E376" t="s">
        <v>13</v>
      </c>
      <c r="F376" t="s">
        <v>42</v>
      </c>
      <c r="G376" t="s">
        <v>20</v>
      </c>
      <c r="H376">
        <v>45.66</v>
      </c>
      <c r="I376">
        <v>16</v>
      </c>
      <c r="J376">
        <v>730.56</v>
      </c>
      <c r="K376" t="str">
        <f t="shared" si="25"/>
        <v>Dec</v>
      </c>
      <c r="L376" t="str">
        <f t="shared" si="26"/>
        <v>Low</v>
      </c>
      <c r="M376" t="str">
        <f t="shared" si="27"/>
        <v>Average</v>
      </c>
      <c r="N376">
        <f t="shared" si="29"/>
        <v>-1072.04</v>
      </c>
      <c r="O376" s="6">
        <v>0.1</v>
      </c>
      <c r="P376">
        <f t="shared" si="28"/>
        <v>657.50400000000002</v>
      </c>
    </row>
    <row r="377" spans="1:16" x14ac:dyDescent="0.25">
      <c r="A377" t="s">
        <v>413</v>
      </c>
      <c r="B377" s="1">
        <v>45798</v>
      </c>
      <c r="C377" t="s">
        <v>11</v>
      </c>
      <c r="D377" t="s">
        <v>55</v>
      </c>
      <c r="E377" t="s">
        <v>27</v>
      </c>
      <c r="F377" t="s">
        <v>42</v>
      </c>
      <c r="G377" t="s">
        <v>36</v>
      </c>
      <c r="H377">
        <v>100.17</v>
      </c>
      <c r="I377">
        <v>10</v>
      </c>
      <c r="J377">
        <v>1001.7</v>
      </c>
      <c r="K377" t="str">
        <f t="shared" si="25"/>
        <v>May</v>
      </c>
      <c r="L377" t="str">
        <f t="shared" si="26"/>
        <v>Low</v>
      </c>
      <c r="M377" t="str">
        <f t="shared" si="27"/>
        <v>Average</v>
      </c>
      <c r="N377">
        <f t="shared" si="29"/>
        <v>271.1400000000001</v>
      </c>
      <c r="O377" s="6">
        <v>0.1</v>
      </c>
      <c r="P377">
        <f t="shared" si="28"/>
        <v>901.53000000000009</v>
      </c>
    </row>
    <row r="378" spans="1:16" x14ac:dyDescent="0.25">
      <c r="A378" t="s">
        <v>414</v>
      </c>
      <c r="B378" s="1">
        <v>45860</v>
      </c>
      <c r="C378" t="s">
        <v>30</v>
      </c>
      <c r="D378" t="s">
        <v>35</v>
      </c>
      <c r="E378" t="s">
        <v>45</v>
      </c>
      <c r="F378" t="s">
        <v>32</v>
      </c>
      <c r="G378" t="s">
        <v>20</v>
      </c>
      <c r="H378">
        <v>215.87</v>
      </c>
      <c r="I378">
        <v>12</v>
      </c>
      <c r="J378">
        <v>2590.44</v>
      </c>
      <c r="K378" t="str">
        <f t="shared" si="25"/>
        <v>Jul</v>
      </c>
      <c r="L378" t="str">
        <f t="shared" si="26"/>
        <v>High</v>
      </c>
      <c r="M378" t="str">
        <f t="shared" si="27"/>
        <v>Good</v>
      </c>
      <c r="N378">
        <f t="shared" si="29"/>
        <v>1588.74</v>
      </c>
      <c r="O378" s="6">
        <v>0.1</v>
      </c>
      <c r="P378">
        <f t="shared" si="28"/>
        <v>2331.3960000000002</v>
      </c>
    </row>
    <row r="379" spans="1:16" x14ac:dyDescent="0.25">
      <c r="A379" t="s">
        <v>415</v>
      </c>
      <c r="B379" s="1">
        <v>45698</v>
      </c>
      <c r="C379" t="s">
        <v>38</v>
      </c>
      <c r="D379" t="s">
        <v>12</v>
      </c>
      <c r="E379" t="s">
        <v>13</v>
      </c>
      <c r="F379" t="s">
        <v>28</v>
      </c>
      <c r="G379" t="s">
        <v>36</v>
      </c>
      <c r="H379">
        <v>35.119999999999997</v>
      </c>
      <c r="I379">
        <v>12</v>
      </c>
      <c r="J379">
        <v>421.44</v>
      </c>
      <c r="K379" t="str">
        <f t="shared" si="25"/>
        <v>Feb</v>
      </c>
      <c r="L379" t="str">
        <f t="shared" si="26"/>
        <v>Low</v>
      </c>
      <c r="M379" t="str">
        <f t="shared" si="27"/>
        <v>Low</v>
      </c>
      <c r="N379">
        <f t="shared" si="29"/>
        <v>-2169</v>
      </c>
      <c r="O379" s="6">
        <v>0.1</v>
      </c>
      <c r="P379">
        <f t="shared" si="28"/>
        <v>379.29599999999999</v>
      </c>
    </row>
    <row r="380" spans="1:16" x14ac:dyDescent="0.25">
      <c r="A380" t="s">
        <v>416</v>
      </c>
      <c r="B380" s="1">
        <v>45767</v>
      </c>
      <c r="C380" t="s">
        <v>25</v>
      </c>
      <c r="D380" t="s">
        <v>35</v>
      </c>
      <c r="E380" t="s">
        <v>18</v>
      </c>
      <c r="F380" t="s">
        <v>28</v>
      </c>
      <c r="G380" t="s">
        <v>36</v>
      </c>
      <c r="H380">
        <v>209.18</v>
      </c>
      <c r="I380">
        <v>7</v>
      </c>
      <c r="J380">
        <v>1464.26</v>
      </c>
      <c r="K380" t="str">
        <f t="shared" si="25"/>
        <v>Apr</v>
      </c>
      <c r="L380" t="str">
        <f t="shared" si="26"/>
        <v>Low</v>
      </c>
      <c r="M380" t="str">
        <f t="shared" si="27"/>
        <v>Average</v>
      </c>
      <c r="N380">
        <f t="shared" si="29"/>
        <v>1042.82</v>
      </c>
      <c r="O380" s="6">
        <v>0.1</v>
      </c>
      <c r="P380">
        <f t="shared" si="28"/>
        <v>1317.8340000000001</v>
      </c>
    </row>
    <row r="381" spans="1:16" x14ac:dyDescent="0.25">
      <c r="A381" t="s">
        <v>417</v>
      </c>
      <c r="B381" s="1">
        <v>45728</v>
      </c>
      <c r="C381" t="s">
        <v>25</v>
      </c>
      <c r="D381" t="s">
        <v>12</v>
      </c>
      <c r="E381" t="s">
        <v>18</v>
      </c>
      <c r="F381" t="s">
        <v>14</v>
      </c>
      <c r="G381" t="s">
        <v>15</v>
      </c>
      <c r="H381">
        <v>92.01</v>
      </c>
      <c r="I381">
        <v>4</v>
      </c>
      <c r="J381">
        <v>368.04</v>
      </c>
      <c r="K381" t="str">
        <f t="shared" si="25"/>
        <v>Mar</v>
      </c>
      <c r="L381" t="str">
        <f t="shared" si="26"/>
        <v>Low</v>
      </c>
      <c r="M381" t="str">
        <f t="shared" si="27"/>
        <v>Low</v>
      </c>
      <c r="N381">
        <f t="shared" si="29"/>
        <v>-1096.22</v>
      </c>
      <c r="O381" s="6">
        <v>0.1</v>
      </c>
      <c r="P381">
        <f t="shared" si="28"/>
        <v>331.23600000000005</v>
      </c>
    </row>
    <row r="382" spans="1:16" x14ac:dyDescent="0.25">
      <c r="A382" t="s">
        <v>418</v>
      </c>
      <c r="B382" s="1">
        <v>45683</v>
      </c>
      <c r="C382" t="s">
        <v>30</v>
      </c>
      <c r="D382" t="s">
        <v>12</v>
      </c>
      <c r="E382" t="s">
        <v>23</v>
      </c>
      <c r="F382" t="s">
        <v>19</v>
      </c>
      <c r="G382" t="s">
        <v>15</v>
      </c>
      <c r="H382">
        <v>56</v>
      </c>
      <c r="I382">
        <v>17</v>
      </c>
      <c r="J382">
        <v>952</v>
      </c>
      <c r="K382" t="str">
        <f t="shared" si="25"/>
        <v>Jan</v>
      </c>
      <c r="L382" t="str">
        <f t="shared" si="26"/>
        <v>Low</v>
      </c>
      <c r="M382" t="str">
        <f t="shared" si="27"/>
        <v>Average</v>
      </c>
      <c r="N382">
        <f t="shared" si="29"/>
        <v>583.96</v>
      </c>
      <c r="O382" s="6">
        <v>0.1</v>
      </c>
      <c r="P382">
        <f t="shared" si="28"/>
        <v>856.80000000000007</v>
      </c>
    </row>
    <row r="383" spans="1:16" x14ac:dyDescent="0.25">
      <c r="A383" t="s">
        <v>419</v>
      </c>
      <c r="B383" s="1">
        <v>45869</v>
      </c>
      <c r="C383" t="s">
        <v>17</v>
      </c>
      <c r="D383" t="s">
        <v>31</v>
      </c>
      <c r="E383" t="s">
        <v>45</v>
      </c>
      <c r="F383" t="s">
        <v>28</v>
      </c>
      <c r="G383" t="s">
        <v>15</v>
      </c>
      <c r="H383">
        <v>183.28</v>
      </c>
      <c r="I383">
        <v>11</v>
      </c>
      <c r="J383">
        <v>2016.08</v>
      </c>
      <c r="K383" t="str">
        <f t="shared" si="25"/>
        <v>Jul</v>
      </c>
      <c r="L383" t="str">
        <f t="shared" si="26"/>
        <v>High</v>
      </c>
      <c r="M383" t="str">
        <f t="shared" si="27"/>
        <v>Good</v>
      </c>
      <c r="N383">
        <f t="shared" si="29"/>
        <v>1064.08</v>
      </c>
      <c r="O383" s="6">
        <v>0.1</v>
      </c>
      <c r="P383">
        <f t="shared" si="28"/>
        <v>1814.472</v>
      </c>
    </row>
    <row r="384" spans="1:16" x14ac:dyDescent="0.25">
      <c r="A384" t="s">
        <v>420</v>
      </c>
      <c r="B384" s="1">
        <v>45660</v>
      </c>
      <c r="C384" t="s">
        <v>30</v>
      </c>
      <c r="D384" t="s">
        <v>31</v>
      </c>
      <c r="E384" t="s">
        <v>27</v>
      </c>
      <c r="F384" t="s">
        <v>61</v>
      </c>
      <c r="G384" t="s">
        <v>36</v>
      </c>
      <c r="H384">
        <v>168.37</v>
      </c>
      <c r="I384">
        <v>18</v>
      </c>
      <c r="J384">
        <v>3030.66</v>
      </c>
      <c r="K384" t="str">
        <f t="shared" si="25"/>
        <v>Jan</v>
      </c>
      <c r="L384" t="str">
        <f t="shared" si="26"/>
        <v>High</v>
      </c>
      <c r="M384" t="str">
        <f t="shared" si="27"/>
        <v>Excellent</v>
      </c>
      <c r="N384">
        <f t="shared" si="29"/>
        <v>1014.5799999999999</v>
      </c>
      <c r="O384" s="6">
        <v>0.1</v>
      </c>
      <c r="P384">
        <f t="shared" si="28"/>
        <v>2727.5940000000001</v>
      </c>
    </row>
    <row r="385" spans="1:16" x14ac:dyDescent="0.25">
      <c r="A385" t="s">
        <v>421</v>
      </c>
      <c r="B385" s="1">
        <v>45991</v>
      </c>
      <c r="C385" t="s">
        <v>34</v>
      </c>
      <c r="D385" t="s">
        <v>35</v>
      </c>
      <c r="E385" t="s">
        <v>13</v>
      </c>
      <c r="F385" t="s">
        <v>28</v>
      </c>
      <c r="G385" t="s">
        <v>15</v>
      </c>
      <c r="H385">
        <v>223.04</v>
      </c>
      <c r="I385">
        <v>7</v>
      </c>
      <c r="J385">
        <v>1561.28</v>
      </c>
      <c r="K385" t="str">
        <f t="shared" si="25"/>
        <v>Nov</v>
      </c>
      <c r="L385" t="str">
        <f t="shared" si="26"/>
        <v>Low</v>
      </c>
      <c r="M385" t="str">
        <f t="shared" si="27"/>
        <v>Good</v>
      </c>
      <c r="N385">
        <f t="shared" si="29"/>
        <v>-1469.3799999999999</v>
      </c>
      <c r="O385" s="6">
        <v>0.1</v>
      </c>
      <c r="P385">
        <f t="shared" si="28"/>
        <v>1405.152</v>
      </c>
    </row>
    <row r="386" spans="1:16" x14ac:dyDescent="0.25">
      <c r="A386" t="s">
        <v>422</v>
      </c>
      <c r="B386" s="1">
        <v>45703</v>
      </c>
      <c r="C386" t="s">
        <v>30</v>
      </c>
      <c r="D386" t="s">
        <v>55</v>
      </c>
      <c r="E386" t="s">
        <v>27</v>
      </c>
      <c r="F386" t="s">
        <v>28</v>
      </c>
      <c r="G386" t="s">
        <v>15</v>
      </c>
      <c r="H386">
        <v>191.72</v>
      </c>
      <c r="I386">
        <v>19</v>
      </c>
      <c r="J386">
        <v>3642.68</v>
      </c>
      <c r="K386" t="str">
        <f t="shared" ref="K386:K449" si="30">TEXT(B386,"MMM")</f>
        <v>Feb</v>
      </c>
      <c r="L386" t="str">
        <f t="shared" ref="L386:L449" si="31">IF(J386&gt;2000,"High","Low")</f>
        <v>High</v>
      </c>
      <c r="M386" t="str">
        <f t="shared" ref="M386:M449" si="32">IF(J386&gt;3000,"Excellent",
 IF(J386&gt;1500,"Good",
 IF(J386&gt;500,"Average","Low")))</f>
        <v>Excellent</v>
      </c>
      <c r="N386">
        <f t="shared" si="29"/>
        <v>2081.3999999999996</v>
      </c>
      <c r="O386" s="6">
        <v>0.1</v>
      </c>
      <c r="P386">
        <f t="shared" ref="P386:P449" si="33">J386*(1-O386)</f>
        <v>3278.4119999999998</v>
      </c>
    </row>
    <row r="387" spans="1:16" x14ac:dyDescent="0.25">
      <c r="A387" t="s">
        <v>423</v>
      </c>
      <c r="B387" s="1">
        <v>45747</v>
      </c>
      <c r="C387" t="s">
        <v>30</v>
      </c>
      <c r="D387" t="s">
        <v>22</v>
      </c>
      <c r="E387" t="s">
        <v>41</v>
      </c>
      <c r="F387" t="s">
        <v>39</v>
      </c>
      <c r="G387" t="s">
        <v>36</v>
      </c>
      <c r="H387">
        <v>206.77</v>
      </c>
      <c r="I387">
        <v>14</v>
      </c>
      <c r="J387">
        <v>2894.78</v>
      </c>
      <c r="K387" t="str">
        <f t="shared" si="30"/>
        <v>Mar</v>
      </c>
      <c r="L387" t="str">
        <f t="shared" si="31"/>
        <v>High</v>
      </c>
      <c r="M387" t="str">
        <f t="shared" si="32"/>
        <v>Good</v>
      </c>
      <c r="N387">
        <f t="shared" ref="N387:N450" si="34">J387-J386</f>
        <v>-747.89999999999964</v>
      </c>
      <c r="O387" s="6">
        <v>0.1</v>
      </c>
      <c r="P387">
        <f t="shared" si="33"/>
        <v>2605.3020000000001</v>
      </c>
    </row>
    <row r="388" spans="1:16" x14ac:dyDescent="0.25">
      <c r="A388" t="s">
        <v>424</v>
      </c>
      <c r="B388" s="1">
        <v>45753</v>
      </c>
      <c r="C388" t="s">
        <v>11</v>
      </c>
      <c r="D388" t="s">
        <v>22</v>
      </c>
      <c r="E388" t="s">
        <v>13</v>
      </c>
      <c r="F388" t="s">
        <v>42</v>
      </c>
      <c r="G388" t="s">
        <v>20</v>
      </c>
      <c r="H388">
        <v>92.05</v>
      </c>
      <c r="I388">
        <v>10</v>
      </c>
      <c r="J388">
        <v>920.5</v>
      </c>
      <c r="K388" t="str">
        <f t="shared" si="30"/>
        <v>Apr</v>
      </c>
      <c r="L388" t="str">
        <f t="shared" si="31"/>
        <v>Low</v>
      </c>
      <c r="M388" t="str">
        <f t="shared" si="32"/>
        <v>Average</v>
      </c>
      <c r="N388">
        <f t="shared" si="34"/>
        <v>-1974.2800000000002</v>
      </c>
      <c r="O388" s="6">
        <v>0.1</v>
      </c>
      <c r="P388">
        <f t="shared" si="33"/>
        <v>828.45</v>
      </c>
    </row>
    <row r="389" spans="1:16" x14ac:dyDescent="0.25">
      <c r="A389" t="s">
        <v>425</v>
      </c>
      <c r="B389" s="1">
        <v>45712</v>
      </c>
      <c r="C389" t="s">
        <v>34</v>
      </c>
      <c r="D389" t="s">
        <v>31</v>
      </c>
      <c r="E389" t="s">
        <v>27</v>
      </c>
      <c r="F389" t="s">
        <v>42</v>
      </c>
      <c r="G389" t="s">
        <v>20</v>
      </c>
      <c r="H389">
        <v>69.040000000000006</v>
      </c>
      <c r="I389">
        <v>11</v>
      </c>
      <c r="J389">
        <v>759.44</v>
      </c>
      <c r="K389" t="str">
        <f t="shared" si="30"/>
        <v>Feb</v>
      </c>
      <c r="L389" t="str">
        <f t="shared" si="31"/>
        <v>Low</v>
      </c>
      <c r="M389" t="str">
        <f t="shared" si="32"/>
        <v>Average</v>
      </c>
      <c r="N389">
        <f t="shared" si="34"/>
        <v>-161.05999999999995</v>
      </c>
      <c r="O389" s="6">
        <v>0.1</v>
      </c>
      <c r="P389">
        <f t="shared" si="33"/>
        <v>683.49600000000009</v>
      </c>
    </row>
    <row r="390" spans="1:16" x14ac:dyDescent="0.25">
      <c r="A390" t="s">
        <v>426</v>
      </c>
      <c r="B390" s="1">
        <v>45910</v>
      </c>
      <c r="C390" t="s">
        <v>25</v>
      </c>
      <c r="D390" t="s">
        <v>31</v>
      </c>
      <c r="E390" t="s">
        <v>13</v>
      </c>
      <c r="F390" t="s">
        <v>14</v>
      </c>
      <c r="G390" t="s">
        <v>15</v>
      </c>
      <c r="H390">
        <v>195.14</v>
      </c>
      <c r="I390">
        <v>5</v>
      </c>
      <c r="J390">
        <v>975.7</v>
      </c>
      <c r="K390" t="str">
        <f t="shared" si="30"/>
        <v>Sep</v>
      </c>
      <c r="L390" t="str">
        <f t="shared" si="31"/>
        <v>Low</v>
      </c>
      <c r="M390" t="str">
        <f t="shared" si="32"/>
        <v>Average</v>
      </c>
      <c r="N390">
        <f t="shared" si="34"/>
        <v>216.26</v>
      </c>
      <c r="O390" s="6">
        <v>0.1</v>
      </c>
      <c r="P390">
        <f t="shared" si="33"/>
        <v>878.13000000000011</v>
      </c>
    </row>
    <row r="391" spans="1:16" x14ac:dyDescent="0.25">
      <c r="A391" t="s">
        <v>427</v>
      </c>
      <c r="B391" s="1">
        <v>45827</v>
      </c>
      <c r="C391" t="s">
        <v>17</v>
      </c>
      <c r="D391" t="s">
        <v>31</v>
      </c>
      <c r="E391" t="s">
        <v>27</v>
      </c>
      <c r="F391" t="s">
        <v>32</v>
      </c>
      <c r="G391" t="s">
        <v>20</v>
      </c>
      <c r="H391">
        <v>207.5</v>
      </c>
      <c r="I391">
        <v>6</v>
      </c>
      <c r="J391">
        <v>1245</v>
      </c>
      <c r="K391" t="str">
        <f t="shared" si="30"/>
        <v>Jun</v>
      </c>
      <c r="L391" t="str">
        <f t="shared" si="31"/>
        <v>Low</v>
      </c>
      <c r="M391" t="str">
        <f t="shared" si="32"/>
        <v>Average</v>
      </c>
      <c r="N391">
        <f t="shared" si="34"/>
        <v>269.29999999999995</v>
      </c>
      <c r="O391" s="6">
        <v>0.1</v>
      </c>
      <c r="P391">
        <f t="shared" si="33"/>
        <v>1120.5</v>
      </c>
    </row>
    <row r="392" spans="1:16" x14ac:dyDescent="0.25">
      <c r="A392" t="s">
        <v>428</v>
      </c>
      <c r="B392" s="1">
        <v>45753</v>
      </c>
      <c r="C392" t="s">
        <v>17</v>
      </c>
      <c r="D392" t="s">
        <v>35</v>
      </c>
      <c r="E392" t="s">
        <v>13</v>
      </c>
      <c r="F392" t="s">
        <v>42</v>
      </c>
      <c r="G392" t="s">
        <v>20</v>
      </c>
      <c r="H392">
        <v>247.91</v>
      </c>
      <c r="I392">
        <v>1</v>
      </c>
      <c r="J392">
        <v>247.91</v>
      </c>
      <c r="K392" t="str">
        <f t="shared" si="30"/>
        <v>Apr</v>
      </c>
      <c r="L392" t="str">
        <f t="shared" si="31"/>
        <v>Low</v>
      </c>
      <c r="M392" t="str">
        <f t="shared" si="32"/>
        <v>Low</v>
      </c>
      <c r="N392">
        <f t="shared" si="34"/>
        <v>-997.09</v>
      </c>
      <c r="O392" s="6">
        <v>0.1</v>
      </c>
      <c r="P392">
        <f t="shared" si="33"/>
        <v>223.119</v>
      </c>
    </row>
    <row r="393" spans="1:16" x14ac:dyDescent="0.25">
      <c r="A393" t="s">
        <v>429</v>
      </c>
      <c r="B393" s="1">
        <v>45756</v>
      </c>
      <c r="C393" t="s">
        <v>25</v>
      </c>
      <c r="D393" t="s">
        <v>12</v>
      </c>
      <c r="E393" t="s">
        <v>41</v>
      </c>
      <c r="F393" t="s">
        <v>39</v>
      </c>
      <c r="G393" t="s">
        <v>36</v>
      </c>
      <c r="H393">
        <v>120.78</v>
      </c>
      <c r="I393">
        <v>6</v>
      </c>
      <c r="J393">
        <v>724.68</v>
      </c>
      <c r="K393" t="str">
        <f t="shared" si="30"/>
        <v>Apr</v>
      </c>
      <c r="L393" t="str">
        <f t="shared" si="31"/>
        <v>Low</v>
      </c>
      <c r="M393" t="str">
        <f t="shared" si="32"/>
        <v>Average</v>
      </c>
      <c r="N393">
        <f t="shared" si="34"/>
        <v>476.77</v>
      </c>
      <c r="O393" s="6">
        <v>0.1</v>
      </c>
      <c r="P393">
        <f t="shared" si="33"/>
        <v>652.21199999999999</v>
      </c>
    </row>
    <row r="394" spans="1:16" x14ac:dyDescent="0.25">
      <c r="A394" t="s">
        <v>430</v>
      </c>
      <c r="B394" s="1">
        <v>45921</v>
      </c>
      <c r="C394" t="s">
        <v>11</v>
      </c>
      <c r="D394" t="s">
        <v>31</v>
      </c>
      <c r="E394" t="s">
        <v>27</v>
      </c>
      <c r="F394" t="s">
        <v>19</v>
      </c>
      <c r="G394" t="s">
        <v>15</v>
      </c>
      <c r="H394">
        <v>111.84</v>
      </c>
      <c r="I394">
        <v>11</v>
      </c>
      <c r="J394">
        <v>1230.24</v>
      </c>
      <c r="K394" t="str">
        <f t="shared" si="30"/>
        <v>Sep</v>
      </c>
      <c r="L394" t="str">
        <f t="shared" si="31"/>
        <v>Low</v>
      </c>
      <c r="M394" t="str">
        <f t="shared" si="32"/>
        <v>Average</v>
      </c>
      <c r="N394">
        <f t="shared" si="34"/>
        <v>505.56000000000006</v>
      </c>
      <c r="O394" s="6">
        <v>0.1</v>
      </c>
      <c r="P394">
        <f t="shared" si="33"/>
        <v>1107.2160000000001</v>
      </c>
    </row>
    <row r="395" spans="1:16" x14ac:dyDescent="0.25">
      <c r="A395" t="s">
        <v>431</v>
      </c>
      <c r="B395" s="1">
        <v>45729</v>
      </c>
      <c r="C395" t="s">
        <v>34</v>
      </c>
      <c r="D395" t="s">
        <v>26</v>
      </c>
      <c r="E395" t="s">
        <v>45</v>
      </c>
      <c r="F395" t="s">
        <v>32</v>
      </c>
      <c r="G395" t="s">
        <v>36</v>
      </c>
      <c r="H395">
        <v>200.81</v>
      </c>
      <c r="I395">
        <v>16</v>
      </c>
      <c r="J395">
        <v>3212.96</v>
      </c>
      <c r="K395" t="str">
        <f t="shared" si="30"/>
        <v>Mar</v>
      </c>
      <c r="L395" t="str">
        <f t="shared" si="31"/>
        <v>High</v>
      </c>
      <c r="M395" t="str">
        <f t="shared" si="32"/>
        <v>Excellent</v>
      </c>
      <c r="N395">
        <f t="shared" si="34"/>
        <v>1982.72</v>
      </c>
      <c r="O395" s="6">
        <v>0.1</v>
      </c>
      <c r="P395">
        <f t="shared" si="33"/>
        <v>2891.6640000000002</v>
      </c>
    </row>
    <row r="396" spans="1:16" x14ac:dyDescent="0.25">
      <c r="A396" t="s">
        <v>432</v>
      </c>
      <c r="B396" s="1">
        <v>45778</v>
      </c>
      <c r="C396" t="s">
        <v>34</v>
      </c>
      <c r="D396" t="s">
        <v>35</v>
      </c>
      <c r="E396" t="s">
        <v>13</v>
      </c>
      <c r="F396" t="s">
        <v>42</v>
      </c>
      <c r="G396" t="s">
        <v>20</v>
      </c>
      <c r="H396">
        <v>104.98</v>
      </c>
      <c r="I396">
        <v>15</v>
      </c>
      <c r="J396">
        <v>1574.7</v>
      </c>
      <c r="K396" t="str">
        <f t="shared" si="30"/>
        <v>May</v>
      </c>
      <c r="L396" t="str">
        <f t="shared" si="31"/>
        <v>Low</v>
      </c>
      <c r="M396" t="str">
        <f t="shared" si="32"/>
        <v>Good</v>
      </c>
      <c r="N396">
        <f t="shared" si="34"/>
        <v>-1638.26</v>
      </c>
      <c r="O396" s="6">
        <v>0.1</v>
      </c>
      <c r="P396">
        <f t="shared" si="33"/>
        <v>1417.23</v>
      </c>
    </row>
    <row r="397" spans="1:16" x14ac:dyDescent="0.25">
      <c r="A397" t="s">
        <v>433</v>
      </c>
      <c r="B397" s="1">
        <v>45951</v>
      </c>
      <c r="C397" t="s">
        <v>34</v>
      </c>
      <c r="D397" t="s">
        <v>12</v>
      </c>
      <c r="E397" t="s">
        <v>13</v>
      </c>
      <c r="F397" t="s">
        <v>28</v>
      </c>
      <c r="G397" t="s">
        <v>15</v>
      </c>
      <c r="H397">
        <v>234.77</v>
      </c>
      <c r="I397">
        <v>1</v>
      </c>
      <c r="J397">
        <v>234.77</v>
      </c>
      <c r="K397" t="str">
        <f t="shared" si="30"/>
        <v>Oct</v>
      </c>
      <c r="L397" t="str">
        <f t="shared" si="31"/>
        <v>Low</v>
      </c>
      <c r="M397" t="str">
        <f t="shared" si="32"/>
        <v>Low</v>
      </c>
      <c r="N397">
        <f t="shared" si="34"/>
        <v>-1339.93</v>
      </c>
      <c r="O397" s="6">
        <v>0.1</v>
      </c>
      <c r="P397">
        <f t="shared" si="33"/>
        <v>211.29300000000001</v>
      </c>
    </row>
    <row r="398" spans="1:16" x14ac:dyDescent="0.25">
      <c r="A398" t="s">
        <v>434</v>
      </c>
      <c r="B398" s="1">
        <v>45689</v>
      </c>
      <c r="C398" t="s">
        <v>38</v>
      </c>
      <c r="D398" t="s">
        <v>35</v>
      </c>
      <c r="E398" t="s">
        <v>23</v>
      </c>
      <c r="F398" t="s">
        <v>61</v>
      </c>
      <c r="G398" t="s">
        <v>20</v>
      </c>
      <c r="H398">
        <v>218.85</v>
      </c>
      <c r="I398">
        <v>4</v>
      </c>
      <c r="J398">
        <v>875.4</v>
      </c>
      <c r="K398" t="str">
        <f t="shared" si="30"/>
        <v>Feb</v>
      </c>
      <c r="L398" t="str">
        <f t="shared" si="31"/>
        <v>Low</v>
      </c>
      <c r="M398" t="str">
        <f t="shared" si="32"/>
        <v>Average</v>
      </c>
      <c r="N398">
        <f t="shared" si="34"/>
        <v>640.63</v>
      </c>
      <c r="O398" s="6">
        <v>0.1</v>
      </c>
      <c r="P398">
        <f t="shared" si="33"/>
        <v>787.86</v>
      </c>
    </row>
    <row r="399" spans="1:16" x14ac:dyDescent="0.25">
      <c r="A399" t="s">
        <v>435</v>
      </c>
      <c r="B399" s="1">
        <v>45915</v>
      </c>
      <c r="C399" t="s">
        <v>17</v>
      </c>
      <c r="D399" t="s">
        <v>22</v>
      </c>
      <c r="E399" t="s">
        <v>27</v>
      </c>
      <c r="F399" t="s">
        <v>32</v>
      </c>
      <c r="G399" t="s">
        <v>36</v>
      </c>
      <c r="H399">
        <v>124.38</v>
      </c>
      <c r="I399">
        <v>10</v>
      </c>
      <c r="J399">
        <v>1243.8</v>
      </c>
      <c r="K399" t="str">
        <f t="shared" si="30"/>
        <v>Sep</v>
      </c>
      <c r="L399" t="str">
        <f t="shared" si="31"/>
        <v>Low</v>
      </c>
      <c r="M399" t="str">
        <f t="shared" si="32"/>
        <v>Average</v>
      </c>
      <c r="N399">
        <f t="shared" si="34"/>
        <v>368.4</v>
      </c>
      <c r="O399" s="6">
        <v>0.1</v>
      </c>
      <c r="P399">
        <f t="shared" si="33"/>
        <v>1119.42</v>
      </c>
    </row>
    <row r="400" spans="1:16" x14ac:dyDescent="0.25">
      <c r="A400" t="s">
        <v>436</v>
      </c>
      <c r="B400" s="1">
        <v>45972</v>
      </c>
      <c r="C400" t="s">
        <v>30</v>
      </c>
      <c r="D400" t="s">
        <v>26</v>
      </c>
      <c r="E400" t="s">
        <v>41</v>
      </c>
      <c r="F400" t="s">
        <v>14</v>
      </c>
      <c r="G400" t="s">
        <v>36</v>
      </c>
      <c r="H400">
        <v>195.19</v>
      </c>
      <c r="I400">
        <v>8</v>
      </c>
      <c r="J400">
        <v>1561.52</v>
      </c>
      <c r="K400" t="str">
        <f t="shared" si="30"/>
        <v>Nov</v>
      </c>
      <c r="L400" t="str">
        <f t="shared" si="31"/>
        <v>Low</v>
      </c>
      <c r="M400" t="str">
        <f t="shared" si="32"/>
        <v>Good</v>
      </c>
      <c r="N400">
        <f t="shared" si="34"/>
        <v>317.72000000000003</v>
      </c>
      <c r="O400" s="6">
        <v>0.1</v>
      </c>
      <c r="P400">
        <f t="shared" si="33"/>
        <v>1405.3679999999999</v>
      </c>
    </row>
    <row r="401" spans="1:16" x14ac:dyDescent="0.25">
      <c r="A401" t="s">
        <v>437</v>
      </c>
      <c r="B401" s="1">
        <v>45968</v>
      </c>
      <c r="C401" t="s">
        <v>38</v>
      </c>
      <c r="D401" t="s">
        <v>12</v>
      </c>
      <c r="E401" t="s">
        <v>18</v>
      </c>
      <c r="F401" t="s">
        <v>61</v>
      </c>
      <c r="G401" t="s">
        <v>20</v>
      </c>
      <c r="H401">
        <v>196</v>
      </c>
      <c r="I401">
        <v>12</v>
      </c>
      <c r="J401">
        <v>2352</v>
      </c>
      <c r="K401" t="str">
        <f t="shared" si="30"/>
        <v>Nov</v>
      </c>
      <c r="L401" t="str">
        <f t="shared" si="31"/>
        <v>High</v>
      </c>
      <c r="M401" t="str">
        <f t="shared" si="32"/>
        <v>Good</v>
      </c>
      <c r="N401">
        <f t="shared" si="34"/>
        <v>790.48</v>
      </c>
      <c r="O401" s="6">
        <v>0.1</v>
      </c>
      <c r="P401">
        <f t="shared" si="33"/>
        <v>2116.8000000000002</v>
      </c>
    </row>
    <row r="402" spans="1:16" x14ac:dyDescent="0.25">
      <c r="A402" t="s">
        <v>438</v>
      </c>
      <c r="B402" s="1">
        <v>45998</v>
      </c>
      <c r="C402" t="s">
        <v>30</v>
      </c>
      <c r="D402" t="s">
        <v>12</v>
      </c>
      <c r="E402" t="s">
        <v>18</v>
      </c>
      <c r="F402" t="s">
        <v>39</v>
      </c>
      <c r="G402" t="s">
        <v>15</v>
      </c>
      <c r="H402">
        <v>52.69</v>
      </c>
      <c r="I402">
        <v>7</v>
      </c>
      <c r="J402">
        <v>368.83</v>
      </c>
      <c r="K402" t="str">
        <f t="shared" si="30"/>
        <v>Dec</v>
      </c>
      <c r="L402" t="str">
        <f t="shared" si="31"/>
        <v>Low</v>
      </c>
      <c r="M402" t="str">
        <f t="shared" si="32"/>
        <v>Low</v>
      </c>
      <c r="N402">
        <f t="shared" si="34"/>
        <v>-1983.17</v>
      </c>
      <c r="O402" s="6">
        <v>0.1</v>
      </c>
      <c r="P402">
        <f t="shared" si="33"/>
        <v>331.947</v>
      </c>
    </row>
    <row r="403" spans="1:16" x14ac:dyDescent="0.25">
      <c r="A403" t="s">
        <v>439</v>
      </c>
      <c r="B403" s="1">
        <v>45927</v>
      </c>
      <c r="C403" t="s">
        <v>25</v>
      </c>
      <c r="D403" t="s">
        <v>12</v>
      </c>
      <c r="E403" t="s">
        <v>13</v>
      </c>
      <c r="F403" t="s">
        <v>19</v>
      </c>
      <c r="G403" t="s">
        <v>20</v>
      </c>
      <c r="H403">
        <v>228.56</v>
      </c>
      <c r="I403">
        <v>15</v>
      </c>
      <c r="J403">
        <v>3428.4</v>
      </c>
      <c r="K403" t="str">
        <f t="shared" si="30"/>
        <v>Sep</v>
      </c>
      <c r="L403" t="str">
        <f t="shared" si="31"/>
        <v>High</v>
      </c>
      <c r="M403" t="str">
        <f t="shared" si="32"/>
        <v>Excellent</v>
      </c>
      <c r="N403">
        <f t="shared" si="34"/>
        <v>3059.57</v>
      </c>
      <c r="O403" s="6">
        <v>0.1</v>
      </c>
      <c r="P403">
        <f t="shared" si="33"/>
        <v>3085.56</v>
      </c>
    </row>
    <row r="404" spans="1:16" x14ac:dyDescent="0.25">
      <c r="A404" t="s">
        <v>440</v>
      </c>
      <c r="B404" s="1">
        <v>45715</v>
      </c>
      <c r="C404" t="s">
        <v>25</v>
      </c>
      <c r="D404" t="s">
        <v>55</v>
      </c>
      <c r="E404" t="s">
        <v>23</v>
      </c>
      <c r="F404" t="s">
        <v>42</v>
      </c>
      <c r="G404" t="s">
        <v>20</v>
      </c>
      <c r="H404">
        <v>141.16</v>
      </c>
      <c r="I404">
        <v>2</v>
      </c>
      <c r="J404">
        <v>282.32</v>
      </c>
      <c r="K404" t="str">
        <f t="shared" si="30"/>
        <v>Feb</v>
      </c>
      <c r="L404" t="str">
        <f t="shared" si="31"/>
        <v>Low</v>
      </c>
      <c r="M404" t="str">
        <f t="shared" si="32"/>
        <v>Low</v>
      </c>
      <c r="N404">
        <f t="shared" si="34"/>
        <v>-3146.08</v>
      </c>
      <c r="O404" s="6">
        <v>0.1</v>
      </c>
      <c r="P404">
        <f t="shared" si="33"/>
        <v>254.08799999999999</v>
      </c>
    </row>
    <row r="405" spans="1:16" x14ac:dyDescent="0.25">
      <c r="A405" t="s">
        <v>441</v>
      </c>
      <c r="B405" s="1">
        <v>45734</v>
      </c>
      <c r="C405" t="s">
        <v>34</v>
      </c>
      <c r="D405" t="s">
        <v>55</v>
      </c>
      <c r="E405" t="s">
        <v>41</v>
      </c>
      <c r="F405" t="s">
        <v>19</v>
      </c>
      <c r="G405" t="s">
        <v>20</v>
      </c>
      <c r="H405">
        <v>211.82</v>
      </c>
      <c r="I405">
        <v>6</v>
      </c>
      <c r="J405">
        <v>1270.92</v>
      </c>
      <c r="K405" t="str">
        <f t="shared" si="30"/>
        <v>Mar</v>
      </c>
      <c r="L405" t="str">
        <f t="shared" si="31"/>
        <v>Low</v>
      </c>
      <c r="M405" t="str">
        <f t="shared" si="32"/>
        <v>Average</v>
      </c>
      <c r="N405">
        <f t="shared" si="34"/>
        <v>988.60000000000014</v>
      </c>
      <c r="O405" s="6">
        <v>0.1</v>
      </c>
      <c r="P405">
        <f t="shared" si="33"/>
        <v>1143.8280000000002</v>
      </c>
    </row>
    <row r="406" spans="1:16" x14ac:dyDescent="0.25">
      <c r="A406" t="s">
        <v>442</v>
      </c>
      <c r="B406" s="1">
        <v>45763</v>
      </c>
      <c r="C406" t="s">
        <v>38</v>
      </c>
      <c r="D406" t="s">
        <v>22</v>
      </c>
      <c r="E406" t="s">
        <v>18</v>
      </c>
      <c r="F406" t="s">
        <v>61</v>
      </c>
      <c r="G406" t="s">
        <v>15</v>
      </c>
      <c r="H406">
        <v>100.41</v>
      </c>
      <c r="I406">
        <v>19</v>
      </c>
      <c r="J406">
        <v>1907.79</v>
      </c>
      <c r="K406" t="str">
        <f t="shared" si="30"/>
        <v>Apr</v>
      </c>
      <c r="L406" t="str">
        <f t="shared" si="31"/>
        <v>Low</v>
      </c>
      <c r="M406" t="str">
        <f t="shared" si="32"/>
        <v>Good</v>
      </c>
      <c r="N406">
        <f t="shared" si="34"/>
        <v>636.86999999999989</v>
      </c>
      <c r="O406" s="6">
        <v>0.1</v>
      </c>
      <c r="P406">
        <f t="shared" si="33"/>
        <v>1717.011</v>
      </c>
    </row>
    <row r="407" spans="1:16" x14ac:dyDescent="0.25">
      <c r="A407" t="s">
        <v>443</v>
      </c>
      <c r="B407" s="1">
        <v>45890</v>
      </c>
      <c r="C407" t="s">
        <v>25</v>
      </c>
      <c r="D407" t="s">
        <v>31</v>
      </c>
      <c r="E407" t="s">
        <v>41</v>
      </c>
      <c r="F407" t="s">
        <v>42</v>
      </c>
      <c r="G407" t="s">
        <v>15</v>
      </c>
      <c r="H407">
        <v>227.02</v>
      </c>
      <c r="I407">
        <v>5</v>
      </c>
      <c r="J407">
        <v>1135.0999999999999</v>
      </c>
      <c r="K407" t="str">
        <f t="shared" si="30"/>
        <v>Aug</v>
      </c>
      <c r="L407" t="str">
        <f t="shared" si="31"/>
        <v>Low</v>
      </c>
      <c r="M407" t="str">
        <f t="shared" si="32"/>
        <v>Average</v>
      </c>
      <c r="N407">
        <f t="shared" si="34"/>
        <v>-772.69</v>
      </c>
      <c r="O407" s="6">
        <v>0.1</v>
      </c>
      <c r="P407">
        <f t="shared" si="33"/>
        <v>1021.5899999999999</v>
      </c>
    </row>
    <row r="408" spans="1:16" x14ac:dyDescent="0.25">
      <c r="A408" t="s">
        <v>444</v>
      </c>
      <c r="B408" s="1">
        <v>45944</v>
      </c>
      <c r="C408" t="s">
        <v>17</v>
      </c>
      <c r="D408" t="s">
        <v>35</v>
      </c>
      <c r="E408" t="s">
        <v>27</v>
      </c>
      <c r="F408" t="s">
        <v>19</v>
      </c>
      <c r="G408" t="s">
        <v>36</v>
      </c>
      <c r="H408">
        <v>115.62</v>
      </c>
      <c r="I408">
        <v>15</v>
      </c>
      <c r="J408">
        <v>1734.3</v>
      </c>
      <c r="K408" t="str">
        <f t="shared" si="30"/>
        <v>Oct</v>
      </c>
      <c r="L408" t="str">
        <f t="shared" si="31"/>
        <v>Low</v>
      </c>
      <c r="M408" t="str">
        <f t="shared" si="32"/>
        <v>Good</v>
      </c>
      <c r="N408">
        <f t="shared" si="34"/>
        <v>599.20000000000005</v>
      </c>
      <c r="O408" s="6">
        <v>0.1</v>
      </c>
      <c r="P408">
        <f t="shared" si="33"/>
        <v>1560.87</v>
      </c>
    </row>
    <row r="409" spans="1:16" x14ac:dyDescent="0.25">
      <c r="A409" t="s">
        <v>445</v>
      </c>
      <c r="B409" s="1">
        <v>45788</v>
      </c>
      <c r="C409" t="s">
        <v>17</v>
      </c>
      <c r="D409" t="s">
        <v>26</v>
      </c>
      <c r="E409" t="s">
        <v>18</v>
      </c>
      <c r="F409" t="s">
        <v>19</v>
      </c>
      <c r="G409" t="s">
        <v>15</v>
      </c>
      <c r="H409">
        <v>32.380000000000003</v>
      </c>
      <c r="I409">
        <v>1</v>
      </c>
      <c r="J409">
        <v>32.380000000000003</v>
      </c>
      <c r="K409" t="str">
        <f t="shared" si="30"/>
        <v>May</v>
      </c>
      <c r="L409" t="str">
        <f t="shared" si="31"/>
        <v>Low</v>
      </c>
      <c r="M409" t="str">
        <f t="shared" si="32"/>
        <v>Low</v>
      </c>
      <c r="N409">
        <f t="shared" si="34"/>
        <v>-1701.9199999999998</v>
      </c>
      <c r="O409" s="6">
        <v>0.1</v>
      </c>
      <c r="P409">
        <f t="shared" si="33"/>
        <v>29.142000000000003</v>
      </c>
    </row>
    <row r="410" spans="1:16" x14ac:dyDescent="0.25">
      <c r="A410" t="s">
        <v>446</v>
      </c>
      <c r="B410" s="1">
        <v>45874</v>
      </c>
      <c r="C410" t="s">
        <v>17</v>
      </c>
      <c r="D410" t="s">
        <v>22</v>
      </c>
      <c r="E410" t="s">
        <v>18</v>
      </c>
      <c r="F410" t="s">
        <v>19</v>
      </c>
      <c r="G410" t="s">
        <v>15</v>
      </c>
      <c r="H410">
        <v>229.18</v>
      </c>
      <c r="I410">
        <v>12</v>
      </c>
      <c r="J410">
        <v>2750.16</v>
      </c>
      <c r="K410" t="str">
        <f t="shared" si="30"/>
        <v>Aug</v>
      </c>
      <c r="L410" t="str">
        <f t="shared" si="31"/>
        <v>High</v>
      </c>
      <c r="M410" t="str">
        <f t="shared" si="32"/>
        <v>Good</v>
      </c>
      <c r="N410">
        <f t="shared" si="34"/>
        <v>2717.7799999999997</v>
      </c>
      <c r="O410" s="6">
        <v>0.1</v>
      </c>
      <c r="P410">
        <f t="shared" si="33"/>
        <v>2475.1439999999998</v>
      </c>
    </row>
    <row r="411" spans="1:16" x14ac:dyDescent="0.25">
      <c r="A411" t="s">
        <v>447</v>
      </c>
      <c r="B411" s="1">
        <v>45899</v>
      </c>
      <c r="C411" t="s">
        <v>34</v>
      </c>
      <c r="D411" t="s">
        <v>31</v>
      </c>
      <c r="E411" t="s">
        <v>23</v>
      </c>
      <c r="F411" t="s">
        <v>39</v>
      </c>
      <c r="G411" t="s">
        <v>15</v>
      </c>
      <c r="H411">
        <v>50.08</v>
      </c>
      <c r="I411">
        <v>2</v>
      </c>
      <c r="J411">
        <v>100.16</v>
      </c>
      <c r="K411" t="str">
        <f t="shared" si="30"/>
        <v>Aug</v>
      </c>
      <c r="L411" t="str">
        <f t="shared" si="31"/>
        <v>Low</v>
      </c>
      <c r="M411" t="str">
        <f t="shared" si="32"/>
        <v>Low</v>
      </c>
      <c r="N411">
        <f t="shared" si="34"/>
        <v>-2650</v>
      </c>
      <c r="O411" s="6">
        <v>0.1</v>
      </c>
      <c r="P411">
        <f t="shared" si="33"/>
        <v>90.144000000000005</v>
      </c>
    </row>
    <row r="412" spans="1:16" x14ac:dyDescent="0.25">
      <c r="A412" t="s">
        <v>448</v>
      </c>
      <c r="B412" s="1">
        <v>45986</v>
      </c>
      <c r="C412" t="s">
        <v>34</v>
      </c>
      <c r="D412" t="s">
        <v>31</v>
      </c>
      <c r="E412" t="s">
        <v>41</v>
      </c>
      <c r="F412" t="s">
        <v>39</v>
      </c>
      <c r="G412" t="s">
        <v>36</v>
      </c>
      <c r="H412">
        <v>100.25</v>
      </c>
      <c r="I412">
        <v>14</v>
      </c>
      <c r="J412">
        <v>1403.5</v>
      </c>
      <c r="K412" t="str">
        <f t="shared" si="30"/>
        <v>Nov</v>
      </c>
      <c r="L412" t="str">
        <f t="shared" si="31"/>
        <v>Low</v>
      </c>
      <c r="M412" t="str">
        <f t="shared" si="32"/>
        <v>Average</v>
      </c>
      <c r="N412">
        <f t="shared" si="34"/>
        <v>1303.3399999999999</v>
      </c>
      <c r="O412" s="6">
        <v>0.1</v>
      </c>
      <c r="P412">
        <f t="shared" si="33"/>
        <v>1263.1500000000001</v>
      </c>
    </row>
    <row r="413" spans="1:16" x14ac:dyDescent="0.25">
      <c r="A413" t="s">
        <v>449</v>
      </c>
      <c r="B413" s="1">
        <v>45850</v>
      </c>
      <c r="C413" t="s">
        <v>17</v>
      </c>
      <c r="D413" t="s">
        <v>12</v>
      </c>
      <c r="E413" t="s">
        <v>18</v>
      </c>
      <c r="F413" t="s">
        <v>14</v>
      </c>
      <c r="G413" t="s">
        <v>20</v>
      </c>
      <c r="H413">
        <v>239.01</v>
      </c>
      <c r="I413">
        <v>3</v>
      </c>
      <c r="J413">
        <v>717.03</v>
      </c>
      <c r="K413" t="str">
        <f t="shared" si="30"/>
        <v>Jul</v>
      </c>
      <c r="L413" t="str">
        <f t="shared" si="31"/>
        <v>Low</v>
      </c>
      <c r="M413" t="str">
        <f t="shared" si="32"/>
        <v>Average</v>
      </c>
      <c r="N413">
        <f t="shared" si="34"/>
        <v>-686.47</v>
      </c>
      <c r="O413" s="6">
        <v>0.1</v>
      </c>
      <c r="P413">
        <f t="shared" si="33"/>
        <v>645.327</v>
      </c>
    </row>
    <row r="414" spans="1:16" x14ac:dyDescent="0.25">
      <c r="A414" t="s">
        <v>450</v>
      </c>
      <c r="B414" s="1">
        <v>45836</v>
      </c>
      <c r="C414" t="s">
        <v>30</v>
      </c>
      <c r="D414" t="s">
        <v>55</v>
      </c>
      <c r="E414" t="s">
        <v>41</v>
      </c>
      <c r="F414" t="s">
        <v>42</v>
      </c>
      <c r="G414" t="s">
        <v>15</v>
      </c>
      <c r="H414">
        <v>239.13</v>
      </c>
      <c r="I414">
        <v>4</v>
      </c>
      <c r="J414">
        <v>956.52</v>
      </c>
      <c r="K414" t="str">
        <f t="shared" si="30"/>
        <v>Jun</v>
      </c>
      <c r="L414" t="str">
        <f t="shared" si="31"/>
        <v>Low</v>
      </c>
      <c r="M414" t="str">
        <f t="shared" si="32"/>
        <v>Average</v>
      </c>
      <c r="N414">
        <f t="shared" si="34"/>
        <v>239.49</v>
      </c>
      <c r="O414" s="6">
        <v>0.1</v>
      </c>
      <c r="P414">
        <f t="shared" si="33"/>
        <v>860.86800000000005</v>
      </c>
    </row>
    <row r="415" spans="1:16" x14ac:dyDescent="0.25">
      <c r="A415" t="s">
        <v>451</v>
      </c>
      <c r="B415" s="1">
        <v>45772</v>
      </c>
      <c r="C415" t="s">
        <v>11</v>
      </c>
      <c r="D415" t="s">
        <v>35</v>
      </c>
      <c r="E415" t="s">
        <v>41</v>
      </c>
      <c r="F415" t="s">
        <v>28</v>
      </c>
      <c r="G415" t="s">
        <v>20</v>
      </c>
      <c r="H415">
        <v>156.16</v>
      </c>
      <c r="I415">
        <v>1</v>
      </c>
      <c r="J415">
        <v>156.16</v>
      </c>
      <c r="K415" t="str">
        <f t="shared" si="30"/>
        <v>Apr</v>
      </c>
      <c r="L415" t="str">
        <f t="shared" si="31"/>
        <v>Low</v>
      </c>
      <c r="M415" t="str">
        <f t="shared" si="32"/>
        <v>Low</v>
      </c>
      <c r="N415">
        <f t="shared" si="34"/>
        <v>-800.36</v>
      </c>
      <c r="O415" s="6">
        <v>0.1</v>
      </c>
      <c r="P415">
        <f t="shared" si="33"/>
        <v>140.54400000000001</v>
      </c>
    </row>
    <row r="416" spans="1:16" x14ac:dyDescent="0.25">
      <c r="A416" t="s">
        <v>452</v>
      </c>
      <c r="B416" s="1">
        <v>45936</v>
      </c>
      <c r="C416" t="s">
        <v>25</v>
      </c>
      <c r="D416" t="s">
        <v>31</v>
      </c>
      <c r="E416" t="s">
        <v>23</v>
      </c>
      <c r="F416" t="s">
        <v>14</v>
      </c>
      <c r="G416" t="s">
        <v>36</v>
      </c>
      <c r="H416">
        <v>169</v>
      </c>
      <c r="I416">
        <v>14</v>
      </c>
      <c r="J416">
        <v>2366</v>
      </c>
      <c r="K416" t="str">
        <f t="shared" si="30"/>
        <v>Oct</v>
      </c>
      <c r="L416" t="str">
        <f t="shared" si="31"/>
        <v>High</v>
      </c>
      <c r="M416" t="str">
        <f t="shared" si="32"/>
        <v>Good</v>
      </c>
      <c r="N416">
        <f t="shared" si="34"/>
        <v>2209.84</v>
      </c>
      <c r="O416" s="6">
        <v>0.1</v>
      </c>
      <c r="P416">
        <f t="shared" si="33"/>
        <v>2129.4</v>
      </c>
    </row>
    <row r="417" spans="1:16" x14ac:dyDescent="0.25">
      <c r="A417" t="s">
        <v>453</v>
      </c>
      <c r="B417" s="1">
        <v>45835</v>
      </c>
      <c r="C417" t="s">
        <v>34</v>
      </c>
      <c r="D417" t="s">
        <v>26</v>
      </c>
      <c r="E417" t="s">
        <v>27</v>
      </c>
      <c r="F417" t="s">
        <v>39</v>
      </c>
      <c r="G417" t="s">
        <v>15</v>
      </c>
      <c r="H417">
        <v>128.66</v>
      </c>
      <c r="I417">
        <v>5</v>
      </c>
      <c r="J417">
        <v>643.29999999999995</v>
      </c>
      <c r="K417" t="str">
        <f t="shared" si="30"/>
        <v>Jun</v>
      </c>
      <c r="L417" t="str">
        <f t="shared" si="31"/>
        <v>Low</v>
      </c>
      <c r="M417" t="str">
        <f t="shared" si="32"/>
        <v>Average</v>
      </c>
      <c r="N417">
        <f t="shared" si="34"/>
        <v>-1722.7</v>
      </c>
      <c r="O417" s="6">
        <v>0.1</v>
      </c>
      <c r="P417">
        <f t="shared" si="33"/>
        <v>578.97</v>
      </c>
    </row>
    <row r="418" spans="1:16" x14ac:dyDescent="0.25">
      <c r="A418" t="s">
        <v>454</v>
      </c>
      <c r="B418" s="1">
        <v>45674</v>
      </c>
      <c r="C418" t="s">
        <v>25</v>
      </c>
      <c r="D418" t="s">
        <v>22</v>
      </c>
      <c r="E418" t="s">
        <v>23</v>
      </c>
      <c r="F418" t="s">
        <v>14</v>
      </c>
      <c r="G418" t="s">
        <v>15</v>
      </c>
      <c r="H418">
        <v>94.51</v>
      </c>
      <c r="I418">
        <v>14</v>
      </c>
      <c r="J418">
        <v>1323.14</v>
      </c>
      <c r="K418" t="str">
        <f t="shared" si="30"/>
        <v>Jan</v>
      </c>
      <c r="L418" t="str">
        <f t="shared" si="31"/>
        <v>Low</v>
      </c>
      <c r="M418" t="str">
        <f t="shared" si="32"/>
        <v>Average</v>
      </c>
      <c r="N418">
        <f t="shared" si="34"/>
        <v>679.84000000000015</v>
      </c>
      <c r="O418" s="6">
        <v>0.1</v>
      </c>
      <c r="P418">
        <f t="shared" si="33"/>
        <v>1190.826</v>
      </c>
    </row>
    <row r="419" spans="1:16" x14ac:dyDescent="0.25">
      <c r="A419" t="s">
        <v>455</v>
      </c>
      <c r="B419" s="1">
        <v>45709</v>
      </c>
      <c r="C419" t="s">
        <v>11</v>
      </c>
      <c r="D419" t="s">
        <v>31</v>
      </c>
      <c r="E419" t="s">
        <v>18</v>
      </c>
      <c r="F419" t="s">
        <v>28</v>
      </c>
      <c r="G419" t="s">
        <v>20</v>
      </c>
      <c r="H419">
        <v>102.31</v>
      </c>
      <c r="I419">
        <v>20</v>
      </c>
      <c r="J419">
        <v>2046.2</v>
      </c>
      <c r="K419" t="str">
        <f t="shared" si="30"/>
        <v>Feb</v>
      </c>
      <c r="L419" t="str">
        <f t="shared" si="31"/>
        <v>High</v>
      </c>
      <c r="M419" t="str">
        <f t="shared" si="32"/>
        <v>Good</v>
      </c>
      <c r="N419">
        <f t="shared" si="34"/>
        <v>723.06</v>
      </c>
      <c r="O419" s="6">
        <v>0.1</v>
      </c>
      <c r="P419">
        <f t="shared" si="33"/>
        <v>1841.5800000000002</v>
      </c>
    </row>
    <row r="420" spans="1:16" x14ac:dyDescent="0.25">
      <c r="A420" t="s">
        <v>456</v>
      </c>
      <c r="B420" s="1">
        <v>45682</v>
      </c>
      <c r="C420" t="s">
        <v>17</v>
      </c>
      <c r="D420" t="s">
        <v>22</v>
      </c>
      <c r="E420" t="s">
        <v>41</v>
      </c>
      <c r="F420" t="s">
        <v>61</v>
      </c>
      <c r="G420" t="s">
        <v>15</v>
      </c>
      <c r="H420">
        <v>177.95</v>
      </c>
      <c r="I420">
        <v>8</v>
      </c>
      <c r="J420">
        <v>1423.6</v>
      </c>
      <c r="K420" t="str">
        <f t="shared" si="30"/>
        <v>Jan</v>
      </c>
      <c r="L420" t="str">
        <f t="shared" si="31"/>
        <v>Low</v>
      </c>
      <c r="M420" t="str">
        <f t="shared" si="32"/>
        <v>Average</v>
      </c>
      <c r="N420">
        <f t="shared" si="34"/>
        <v>-622.60000000000014</v>
      </c>
      <c r="O420" s="6">
        <v>0.1</v>
      </c>
      <c r="P420">
        <f t="shared" si="33"/>
        <v>1281.24</v>
      </c>
    </row>
    <row r="421" spans="1:16" x14ac:dyDescent="0.25">
      <c r="A421" t="s">
        <v>457</v>
      </c>
      <c r="B421" s="1">
        <v>45934</v>
      </c>
      <c r="C421" t="s">
        <v>11</v>
      </c>
      <c r="D421" t="s">
        <v>26</v>
      </c>
      <c r="E421" t="s">
        <v>18</v>
      </c>
      <c r="F421" t="s">
        <v>32</v>
      </c>
      <c r="G421" t="s">
        <v>15</v>
      </c>
      <c r="H421">
        <v>195.52</v>
      </c>
      <c r="I421">
        <v>7</v>
      </c>
      <c r="J421">
        <v>1368.64</v>
      </c>
      <c r="K421" t="str">
        <f t="shared" si="30"/>
        <v>Oct</v>
      </c>
      <c r="L421" t="str">
        <f t="shared" si="31"/>
        <v>Low</v>
      </c>
      <c r="M421" t="str">
        <f t="shared" si="32"/>
        <v>Average</v>
      </c>
      <c r="N421">
        <f t="shared" si="34"/>
        <v>-54.959999999999809</v>
      </c>
      <c r="O421" s="6">
        <v>0.1</v>
      </c>
      <c r="P421">
        <f t="shared" si="33"/>
        <v>1231.7760000000001</v>
      </c>
    </row>
    <row r="422" spans="1:16" x14ac:dyDescent="0.25">
      <c r="A422" t="s">
        <v>458</v>
      </c>
      <c r="B422" s="1">
        <v>45952</v>
      </c>
      <c r="C422" t="s">
        <v>25</v>
      </c>
      <c r="D422" t="s">
        <v>55</v>
      </c>
      <c r="E422" t="s">
        <v>27</v>
      </c>
      <c r="F422" t="s">
        <v>39</v>
      </c>
      <c r="G422" t="s">
        <v>36</v>
      </c>
      <c r="H422">
        <v>204.15</v>
      </c>
      <c r="I422">
        <v>11</v>
      </c>
      <c r="J422">
        <v>2245.65</v>
      </c>
      <c r="K422" t="str">
        <f t="shared" si="30"/>
        <v>Oct</v>
      </c>
      <c r="L422" t="str">
        <f t="shared" si="31"/>
        <v>High</v>
      </c>
      <c r="M422" t="str">
        <f t="shared" si="32"/>
        <v>Good</v>
      </c>
      <c r="N422">
        <f t="shared" si="34"/>
        <v>877.01</v>
      </c>
      <c r="O422" s="6">
        <v>0.1</v>
      </c>
      <c r="P422">
        <f t="shared" si="33"/>
        <v>2021.085</v>
      </c>
    </row>
    <row r="423" spans="1:16" x14ac:dyDescent="0.25">
      <c r="A423" t="s">
        <v>459</v>
      </c>
      <c r="B423" s="1">
        <v>45779</v>
      </c>
      <c r="C423" t="s">
        <v>30</v>
      </c>
      <c r="D423" t="s">
        <v>12</v>
      </c>
      <c r="E423" t="s">
        <v>18</v>
      </c>
      <c r="F423" t="s">
        <v>14</v>
      </c>
      <c r="G423" t="s">
        <v>36</v>
      </c>
      <c r="H423">
        <v>203.72</v>
      </c>
      <c r="I423">
        <v>10</v>
      </c>
      <c r="J423">
        <v>2037.2</v>
      </c>
      <c r="K423" t="str">
        <f t="shared" si="30"/>
        <v>May</v>
      </c>
      <c r="L423" t="str">
        <f t="shared" si="31"/>
        <v>High</v>
      </c>
      <c r="M423" t="str">
        <f t="shared" si="32"/>
        <v>Good</v>
      </c>
      <c r="N423">
        <f t="shared" si="34"/>
        <v>-208.45000000000005</v>
      </c>
      <c r="O423" s="6">
        <v>0.1</v>
      </c>
      <c r="P423">
        <f t="shared" si="33"/>
        <v>1833.48</v>
      </c>
    </row>
    <row r="424" spans="1:16" x14ac:dyDescent="0.25">
      <c r="A424" t="s">
        <v>460</v>
      </c>
      <c r="B424" s="1">
        <v>45811</v>
      </c>
      <c r="C424" t="s">
        <v>11</v>
      </c>
      <c r="D424" t="s">
        <v>55</v>
      </c>
      <c r="E424" t="s">
        <v>18</v>
      </c>
      <c r="F424" t="s">
        <v>28</v>
      </c>
      <c r="G424" t="s">
        <v>15</v>
      </c>
      <c r="H424">
        <v>50.07</v>
      </c>
      <c r="I424">
        <v>9</v>
      </c>
      <c r="J424">
        <v>450.63</v>
      </c>
      <c r="K424" t="str">
        <f t="shared" si="30"/>
        <v>Jun</v>
      </c>
      <c r="L424" t="str">
        <f t="shared" si="31"/>
        <v>Low</v>
      </c>
      <c r="M424" t="str">
        <f t="shared" si="32"/>
        <v>Low</v>
      </c>
      <c r="N424">
        <f t="shared" si="34"/>
        <v>-1586.5700000000002</v>
      </c>
      <c r="O424" s="6">
        <v>0.1</v>
      </c>
      <c r="P424">
        <f t="shared" si="33"/>
        <v>405.56700000000001</v>
      </c>
    </row>
    <row r="425" spans="1:16" x14ac:dyDescent="0.25">
      <c r="A425" t="s">
        <v>461</v>
      </c>
      <c r="B425" s="1">
        <v>45978</v>
      </c>
      <c r="C425" t="s">
        <v>25</v>
      </c>
      <c r="D425" t="s">
        <v>31</v>
      </c>
      <c r="E425" t="s">
        <v>45</v>
      </c>
      <c r="F425" t="s">
        <v>32</v>
      </c>
      <c r="G425" t="s">
        <v>20</v>
      </c>
      <c r="H425">
        <v>138.77000000000001</v>
      </c>
      <c r="I425">
        <v>14</v>
      </c>
      <c r="J425">
        <v>1942.78</v>
      </c>
      <c r="K425" t="str">
        <f t="shared" si="30"/>
        <v>Nov</v>
      </c>
      <c r="L425" t="str">
        <f t="shared" si="31"/>
        <v>Low</v>
      </c>
      <c r="M425" t="str">
        <f t="shared" si="32"/>
        <v>Good</v>
      </c>
      <c r="N425">
        <f t="shared" si="34"/>
        <v>1492.15</v>
      </c>
      <c r="O425" s="6">
        <v>0.1</v>
      </c>
      <c r="P425">
        <f t="shared" si="33"/>
        <v>1748.502</v>
      </c>
    </row>
    <row r="426" spans="1:16" x14ac:dyDescent="0.25">
      <c r="A426" t="s">
        <v>462</v>
      </c>
      <c r="B426" s="1">
        <v>46001</v>
      </c>
      <c r="C426" t="s">
        <v>25</v>
      </c>
      <c r="D426" t="s">
        <v>35</v>
      </c>
      <c r="E426" t="s">
        <v>27</v>
      </c>
      <c r="F426" t="s">
        <v>61</v>
      </c>
      <c r="G426" t="s">
        <v>36</v>
      </c>
      <c r="H426">
        <v>42.66</v>
      </c>
      <c r="I426">
        <v>13</v>
      </c>
      <c r="J426">
        <v>554.58000000000004</v>
      </c>
      <c r="K426" t="str">
        <f t="shared" si="30"/>
        <v>Dec</v>
      </c>
      <c r="L426" t="str">
        <f t="shared" si="31"/>
        <v>Low</v>
      </c>
      <c r="M426" t="str">
        <f t="shared" si="32"/>
        <v>Average</v>
      </c>
      <c r="N426">
        <f t="shared" si="34"/>
        <v>-1388.1999999999998</v>
      </c>
      <c r="O426" s="6">
        <v>0.1</v>
      </c>
      <c r="P426">
        <f t="shared" si="33"/>
        <v>499.12200000000007</v>
      </c>
    </row>
    <row r="427" spans="1:16" x14ac:dyDescent="0.25">
      <c r="A427" t="s">
        <v>463</v>
      </c>
      <c r="B427" s="1">
        <v>45734</v>
      </c>
      <c r="C427" t="s">
        <v>38</v>
      </c>
      <c r="D427" t="s">
        <v>26</v>
      </c>
      <c r="E427" t="s">
        <v>18</v>
      </c>
      <c r="F427" t="s">
        <v>61</v>
      </c>
      <c r="G427" t="s">
        <v>15</v>
      </c>
      <c r="H427">
        <v>150.9</v>
      </c>
      <c r="I427">
        <v>10</v>
      </c>
      <c r="J427">
        <v>1509</v>
      </c>
      <c r="K427" t="str">
        <f t="shared" si="30"/>
        <v>Mar</v>
      </c>
      <c r="L427" t="str">
        <f t="shared" si="31"/>
        <v>Low</v>
      </c>
      <c r="M427" t="str">
        <f t="shared" si="32"/>
        <v>Good</v>
      </c>
      <c r="N427">
        <f t="shared" si="34"/>
        <v>954.42</v>
      </c>
      <c r="O427" s="6">
        <v>0.1</v>
      </c>
      <c r="P427">
        <f t="shared" si="33"/>
        <v>1358.1000000000001</v>
      </c>
    </row>
    <row r="428" spans="1:16" x14ac:dyDescent="0.25">
      <c r="A428" t="s">
        <v>464</v>
      </c>
      <c r="B428" s="1">
        <v>45773</v>
      </c>
      <c r="C428" t="s">
        <v>17</v>
      </c>
      <c r="D428" t="s">
        <v>26</v>
      </c>
      <c r="E428" t="s">
        <v>41</v>
      </c>
      <c r="F428" t="s">
        <v>19</v>
      </c>
      <c r="G428" t="s">
        <v>20</v>
      </c>
      <c r="H428">
        <v>127.14</v>
      </c>
      <c r="I428">
        <v>10</v>
      </c>
      <c r="J428">
        <v>1271.4000000000001</v>
      </c>
      <c r="K428" t="str">
        <f t="shared" si="30"/>
        <v>Apr</v>
      </c>
      <c r="L428" t="str">
        <f t="shared" si="31"/>
        <v>Low</v>
      </c>
      <c r="M428" t="str">
        <f t="shared" si="32"/>
        <v>Average</v>
      </c>
      <c r="N428">
        <f t="shared" si="34"/>
        <v>-237.59999999999991</v>
      </c>
      <c r="O428" s="6">
        <v>0.1</v>
      </c>
      <c r="P428">
        <f t="shared" si="33"/>
        <v>1144.2600000000002</v>
      </c>
    </row>
    <row r="429" spans="1:16" x14ac:dyDescent="0.25">
      <c r="A429" t="s">
        <v>465</v>
      </c>
      <c r="B429" s="1">
        <v>45869</v>
      </c>
      <c r="C429" t="s">
        <v>25</v>
      </c>
      <c r="D429" t="s">
        <v>55</v>
      </c>
      <c r="E429" t="s">
        <v>23</v>
      </c>
      <c r="F429" t="s">
        <v>61</v>
      </c>
      <c r="G429" t="s">
        <v>15</v>
      </c>
      <c r="H429">
        <v>225.29</v>
      </c>
      <c r="I429">
        <v>14</v>
      </c>
      <c r="J429">
        <v>3154.06</v>
      </c>
      <c r="K429" t="str">
        <f t="shared" si="30"/>
        <v>Jul</v>
      </c>
      <c r="L429" t="str">
        <f t="shared" si="31"/>
        <v>High</v>
      </c>
      <c r="M429" t="str">
        <f t="shared" si="32"/>
        <v>Excellent</v>
      </c>
      <c r="N429">
        <f t="shared" si="34"/>
        <v>1882.6599999999999</v>
      </c>
      <c r="O429" s="6">
        <v>0.1</v>
      </c>
      <c r="P429">
        <f t="shared" si="33"/>
        <v>2838.654</v>
      </c>
    </row>
    <row r="430" spans="1:16" x14ac:dyDescent="0.25">
      <c r="A430" t="s">
        <v>466</v>
      </c>
      <c r="B430" s="1">
        <v>45788</v>
      </c>
      <c r="C430" t="s">
        <v>34</v>
      </c>
      <c r="D430" t="s">
        <v>12</v>
      </c>
      <c r="E430" t="s">
        <v>45</v>
      </c>
      <c r="F430" t="s">
        <v>61</v>
      </c>
      <c r="G430" t="s">
        <v>36</v>
      </c>
      <c r="H430">
        <v>107.2</v>
      </c>
      <c r="I430">
        <v>7</v>
      </c>
      <c r="J430">
        <v>750.4</v>
      </c>
      <c r="K430" t="str">
        <f t="shared" si="30"/>
        <v>May</v>
      </c>
      <c r="L430" t="str">
        <f t="shared" si="31"/>
        <v>Low</v>
      </c>
      <c r="M430" t="str">
        <f t="shared" si="32"/>
        <v>Average</v>
      </c>
      <c r="N430">
        <f t="shared" si="34"/>
        <v>-2403.66</v>
      </c>
      <c r="O430" s="6">
        <v>0.1</v>
      </c>
      <c r="P430">
        <f t="shared" si="33"/>
        <v>675.36</v>
      </c>
    </row>
    <row r="431" spans="1:16" x14ac:dyDescent="0.25">
      <c r="A431" t="s">
        <v>467</v>
      </c>
      <c r="B431" s="1">
        <v>45705</v>
      </c>
      <c r="C431" t="s">
        <v>17</v>
      </c>
      <c r="D431" t="s">
        <v>26</v>
      </c>
      <c r="E431" t="s">
        <v>45</v>
      </c>
      <c r="F431" t="s">
        <v>32</v>
      </c>
      <c r="G431" t="s">
        <v>36</v>
      </c>
      <c r="H431">
        <v>55.75</v>
      </c>
      <c r="I431">
        <v>18</v>
      </c>
      <c r="J431">
        <v>1003.5</v>
      </c>
      <c r="K431" t="str">
        <f t="shared" si="30"/>
        <v>Feb</v>
      </c>
      <c r="L431" t="str">
        <f t="shared" si="31"/>
        <v>Low</v>
      </c>
      <c r="M431" t="str">
        <f t="shared" si="32"/>
        <v>Average</v>
      </c>
      <c r="N431">
        <f t="shared" si="34"/>
        <v>253.10000000000002</v>
      </c>
      <c r="O431" s="6">
        <v>0.1</v>
      </c>
      <c r="P431">
        <f t="shared" si="33"/>
        <v>903.15</v>
      </c>
    </row>
    <row r="432" spans="1:16" x14ac:dyDescent="0.25">
      <c r="A432" t="s">
        <v>468</v>
      </c>
      <c r="B432" s="1">
        <v>46002</v>
      </c>
      <c r="C432" t="s">
        <v>25</v>
      </c>
      <c r="D432" t="s">
        <v>22</v>
      </c>
      <c r="E432" t="s">
        <v>45</v>
      </c>
      <c r="F432" t="s">
        <v>14</v>
      </c>
      <c r="G432" t="s">
        <v>20</v>
      </c>
      <c r="H432">
        <v>61.46</v>
      </c>
      <c r="I432">
        <v>20</v>
      </c>
      <c r="J432">
        <v>1229.2</v>
      </c>
      <c r="K432" t="str">
        <f t="shared" si="30"/>
        <v>Dec</v>
      </c>
      <c r="L432" t="str">
        <f t="shared" si="31"/>
        <v>Low</v>
      </c>
      <c r="M432" t="str">
        <f t="shared" si="32"/>
        <v>Average</v>
      </c>
      <c r="N432">
        <f t="shared" si="34"/>
        <v>225.70000000000005</v>
      </c>
      <c r="O432" s="6">
        <v>0.1</v>
      </c>
      <c r="P432">
        <f t="shared" si="33"/>
        <v>1106.28</v>
      </c>
    </row>
    <row r="433" spans="1:16" x14ac:dyDescent="0.25">
      <c r="A433" t="s">
        <v>469</v>
      </c>
      <c r="B433" s="1">
        <v>46001</v>
      </c>
      <c r="C433" t="s">
        <v>30</v>
      </c>
      <c r="D433" t="s">
        <v>31</v>
      </c>
      <c r="E433" t="s">
        <v>23</v>
      </c>
      <c r="F433" t="s">
        <v>39</v>
      </c>
      <c r="G433" t="s">
        <v>36</v>
      </c>
      <c r="H433">
        <v>197.53</v>
      </c>
      <c r="I433">
        <v>18</v>
      </c>
      <c r="J433">
        <v>3555.54</v>
      </c>
      <c r="K433" t="str">
        <f t="shared" si="30"/>
        <v>Dec</v>
      </c>
      <c r="L433" t="str">
        <f t="shared" si="31"/>
        <v>High</v>
      </c>
      <c r="M433" t="str">
        <f t="shared" si="32"/>
        <v>Excellent</v>
      </c>
      <c r="N433">
        <f t="shared" si="34"/>
        <v>2326.34</v>
      </c>
      <c r="O433" s="6">
        <v>0.1</v>
      </c>
      <c r="P433">
        <f t="shared" si="33"/>
        <v>3199.9859999999999</v>
      </c>
    </row>
    <row r="434" spans="1:16" x14ac:dyDescent="0.25">
      <c r="A434" t="s">
        <v>470</v>
      </c>
      <c r="B434" s="1">
        <v>45813</v>
      </c>
      <c r="C434" t="s">
        <v>30</v>
      </c>
      <c r="D434" t="s">
        <v>26</v>
      </c>
      <c r="E434" t="s">
        <v>27</v>
      </c>
      <c r="F434" t="s">
        <v>19</v>
      </c>
      <c r="G434" t="s">
        <v>20</v>
      </c>
      <c r="H434">
        <v>166.01</v>
      </c>
      <c r="I434">
        <v>1</v>
      </c>
      <c r="J434">
        <v>166.01</v>
      </c>
      <c r="K434" t="str">
        <f t="shared" si="30"/>
        <v>Jun</v>
      </c>
      <c r="L434" t="str">
        <f t="shared" si="31"/>
        <v>Low</v>
      </c>
      <c r="M434" t="str">
        <f t="shared" si="32"/>
        <v>Low</v>
      </c>
      <c r="N434">
        <f t="shared" si="34"/>
        <v>-3389.5299999999997</v>
      </c>
      <c r="O434" s="6">
        <v>0.1</v>
      </c>
      <c r="P434">
        <f t="shared" si="33"/>
        <v>149.40899999999999</v>
      </c>
    </row>
    <row r="435" spans="1:16" x14ac:dyDescent="0.25">
      <c r="A435" t="s">
        <v>471</v>
      </c>
      <c r="B435" s="1">
        <v>45903</v>
      </c>
      <c r="C435" t="s">
        <v>17</v>
      </c>
      <c r="D435" t="s">
        <v>55</v>
      </c>
      <c r="E435" t="s">
        <v>27</v>
      </c>
      <c r="F435" t="s">
        <v>14</v>
      </c>
      <c r="G435" t="s">
        <v>36</v>
      </c>
      <c r="H435">
        <v>52.25</v>
      </c>
      <c r="I435">
        <v>8</v>
      </c>
      <c r="J435">
        <v>418</v>
      </c>
      <c r="K435" t="str">
        <f t="shared" si="30"/>
        <v>Sep</v>
      </c>
      <c r="L435" t="str">
        <f t="shared" si="31"/>
        <v>Low</v>
      </c>
      <c r="M435" t="str">
        <f t="shared" si="32"/>
        <v>Low</v>
      </c>
      <c r="N435">
        <f t="shared" si="34"/>
        <v>251.99</v>
      </c>
      <c r="O435" s="6">
        <v>0.1</v>
      </c>
      <c r="P435">
        <f t="shared" si="33"/>
        <v>376.2</v>
      </c>
    </row>
    <row r="436" spans="1:16" x14ac:dyDescent="0.25">
      <c r="A436" t="s">
        <v>472</v>
      </c>
      <c r="B436" s="1">
        <v>45780</v>
      </c>
      <c r="C436" t="s">
        <v>34</v>
      </c>
      <c r="D436" t="s">
        <v>35</v>
      </c>
      <c r="E436" t="s">
        <v>41</v>
      </c>
      <c r="F436" t="s">
        <v>61</v>
      </c>
      <c r="G436" t="s">
        <v>20</v>
      </c>
      <c r="H436">
        <v>48.5</v>
      </c>
      <c r="I436">
        <v>18</v>
      </c>
      <c r="J436">
        <v>873</v>
      </c>
      <c r="K436" t="str">
        <f t="shared" si="30"/>
        <v>May</v>
      </c>
      <c r="L436" t="str">
        <f t="shared" si="31"/>
        <v>Low</v>
      </c>
      <c r="M436" t="str">
        <f t="shared" si="32"/>
        <v>Average</v>
      </c>
      <c r="N436">
        <f t="shared" si="34"/>
        <v>455</v>
      </c>
      <c r="O436" s="6">
        <v>0.1</v>
      </c>
      <c r="P436">
        <f t="shared" si="33"/>
        <v>785.7</v>
      </c>
    </row>
    <row r="437" spans="1:16" x14ac:dyDescent="0.25">
      <c r="A437" t="s">
        <v>473</v>
      </c>
      <c r="B437" s="1">
        <v>45990</v>
      </c>
      <c r="C437" t="s">
        <v>34</v>
      </c>
      <c r="D437" t="s">
        <v>35</v>
      </c>
      <c r="E437" t="s">
        <v>13</v>
      </c>
      <c r="F437" t="s">
        <v>42</v>
      </c>
      <c r="G437" t="s">
        <v>36</v>
      </c>
      <c r="H437">
        <v>184.21</v>
      </c>
      <c r="I437">
        <v>12</v>
      </c>
      <c r="J437">
        <v>2210.52</v>
      </c>
      <c r="K437" t="str">
        <f t="shared" si="30"/>
        <v>Nov</v>
      </c>
      <c r="L437" t="str">
        <f t="shared" si="31"/>
        <v>High</v>
      </c>
      <c r="M437" t="str">
        <f t="shared" si="32"/>
        <v>Good</v>
      </c>
      <c r="N437">
        <f t="shared" si="34"/>
        <v>1337.52</v>
      </c>
      <c r="O437" s="6">
        <v>0.1</v>
      </c>
      <c r="P437">
        <f t="shared" si="33"/>
        <v>1989.4680000000001</v>
      </c>
    </row>
    <row r="438" spans="1:16" x14ac:dyDescent="0.25">
      <c r="A438" t="s">
        <v>474</v>
      </c>
      <c r="B438" s="1">
        <v>45896</v>
      </c>
      <c r="C438" t="s">
        <v>17</v>
      </c>
      <c r="D438" t="s">
        <v>31</v>
      </c>
      <c r="E438" t="s">
        <v>13</v>
      </c>
      <c r="F438" t="s">
        <v>14</v>
      </c>
      <c r="G438" t="s">
        <v>36</v>
      </c>
      <c r="H438">
        <v>46.01</v>
      </c>
      <c r="I438">
        <v>4</v>
      </c>
      <c r="J438">
        <v>184.04</v>
      </c>
      <c r="K438" t="str">
        <f t="shared" si="30"/>
        <v>Aug</v>
      </c>
      <c r="L438" t="str">
        <f t="shared" si="31"/>
        <v>Low</v>
      </c>
      <c r="M438" t="str">
        <f t="shared" si="32"/>
        <v>Low</v>
      </c>
      <c r="N438">
        <f t="shared" si="34"/>
        <v>-2026.48</v>
      </c>
      <c r="O438" s="6">
        <v>0.1</v>
      </c>
      <c r="P438">
        <f t="shared" si="33"/>
        <v>165.636</v>
      </c>
    </row>
    <row r="439" spans="1:16" x14ac:dyDescent="0.25">
      <c r="A439" t="s">
        <v>475</v>
      </c>
      <c r="B439" s="1">
        <v>45818</v>
      </c>
      <c r="C439" t="s">
        <v>11</v>
      </c>
      <c r="D439" t="s">
        <v>55</v>
      </c>
      <c r="E439" t="s">
        <v>23</v>
      </c>
      <c r="F439" t="s">
        <v>28</v>
      </c>
      <c r="G439" t="s">
        <v>15</v>
      </c>
      <c r="H439">
        <v>210.81</v>
      </c>
      <c r="I439">
        <v>14</v>
      </c>
      <c r="J439">
        <v>2951.34</v>
      </c>
      <c r="K439" t="str">
        <f t="shared" si="30"/>
        <v>Jun</v>
      </c>
      <c r="L439" t="str">
        <f t="shared" si="31"/>
        <v>High</v>
      </c>
      <c r="M439" t="str">
        <f t="shared" si="32"/>
        <v>Good</v>
      </c>
      <c r="N439">
        <f t="shared" si="34"/>
        <v>2767.3</v>
      </c>
      <c r="O439" s="6">
        <v>0.1</v>
      </c>
      <c r="P439">
        <f t="shared" si="33"/>
        <v>2656.2060000000001</v>
      </c>
    </row>
    <row r="440" spans="1:16" x14ac:dyDescent="0.25">
      <c r="A440" t="s">
        <v>476</v>
      </c>
      <c r="B440" s="1">
        <v>45666</v>
      </c>
      <c r="C440" t="s">
        <v>25</v>
      </c>
      <c r="D440" t="s">
        <v>55</v>
      </c>
      <c r="E440" t="s">
        <v>18</v>
      </c>
      <c r="F440" t="s">
        <v>28</v>
      </c>
      <c r="G440" t="s">
        <v>36</v>
      </c>
      <c r="H440">
        <v>185.37</v>
      </c>
      <c r="I440">
        <v>9</v>
      </c>
      <c r="J440">
        <v>1668.33</v>
      </c>
      <c r="K440" t="str">
        <f t="shared" si="30"/>
        <v>Jan</v>
      </c>
      <c r="L440" t="str">
        <f t="shared" si="31"/>
        <v>Low</v>
      </c>
      <c r="M440" t="str">
        <f t="shared" si="32"/>
        <v>Good</v>
      </c>
      <c r="N440">
        <f t="shared" si="34"/>
        <v>-1283.0100000000002</v>
      </c>
      <c r="O440" s="6">
        <v>0.1</v>
      </c>
      <c r="P440">
        <f t="shared" si="33"/>
        <v>1501.4970000000001</v>
      </c>
    </row>
    <row r="441" spans="1:16" x14ac:dyDescent="0.25">
      <c r="A441" t="s">
        <v>477</v>
      </c>
      <c r="B441" s="1">
        <v>45809</v>
      </c>
      <c r="C441" t="s">
        <v>30</v>
      </c>
      <c r="D441" t="s">
        <v>35</v>
      </c>
      <c r="E441" t="s">
        <v>23</v>
      </c>
      <c r="F441" t="s">
        <v>61</v>
      </c>
      <c r="G441" t="s">
        <v>20</v>
      </c>
      <c r="H441">
        <v>47.9</v>
      </c>
      <c r="I441">
        <v>5</v>
      </c>
      <c r="J441">
        <v>239.5</v>
      </c>
      <c r="K441" t="str">
        <f t="shared" si="30"/>
        <v>Jun</v>
      </c>
      <c r="L441" t="str">
        <f t="shared" si="31"/>
        <v>Low</v>
      </c>
      <c r="M441" t="str">
        <f t="shared" si="32"/>
        <v>Low</v>
      </c>
      <c r="N441">
        <f t="shared" si="34"/>
        <v>-1428.83</v>
      </c>
      <c r="O441" s="6">
        <v>0.1</v>
      </c>
      <c r="P441">
        <f t="shared" si="33"/>
        <v>215.55</v>
      </c>
    </row>
    <row r="442" spans="1:16" x14ac:dyDescent="0.25">
      <c r="A442" t="s">
        <v>478</v>
      </c>
      <c r="B442" s="1">
        <v>45783</v>
      </c>
      <c r="C442" t="s">
        <v>25</v>
      </c>
      <c r="D442" t="s">
        <v>12</v>
      </c>
      <c r="E442" t="s">
        <v>27</v>
      </c>
      <c r="F442" t="s">
        <v>32</v>
      </c>
      <c r="G442" t="s">
        <v>36</v>
      </c>
      <c r="H442">
        <v>48.66</v>
      </c>
      <c r="I442">
        <v>16</v>
      </c>
      <c r="J442">
        <v>778.56</v>
      </c>
      <c r="K442" t="str">
        <f t="shared" si="30"/>
        <v>May</v>
      </c>
      <c r="L442" t="str">
        <f t="shared" si="31"/>
        <v>Low</v>
      </c>
      <c r="M442" t="str">
        <f t="shared" si="32"/>
        <v>Average</v>
      </c>
      <c r="N442">
        <f t="shared" si="34"/>
        <v>539.05999999999995</v>
      </c>
      <c r="O442" s="6">
        <v>0.1</v>
      </c>
      <c r="P442">
        <f t="shared" si="33"/>
        <v>700.70399999999995</v>
      </c>
    </row>
    <row r="443" spans="1:16" x14ac:dyDescent="0.25">
      <c r="A443" t="s">
        <v>479</v>
      </c>
      <c r="B443" s="1">
        <v>45908</v>
      </c>
      <c r="C443" t="s">
        <v>38</v>
      </c>
      <c r="D443" t="s">
        <v>26</v>
      </c>
      <c r="E443" t="s">
        <v>27</v>
      </c>
      <c r="F443" t="s">
        <v>39</v>
      </c>
      <c r="G443" t="s">
        <v>36</v>
      </c>
      <c r="H443">
        <v>247.06</v>
      </c>
      <c r="I443">
        <v>16</v>
      </c>
      <c r="J443">
        <v>3952.96</v>
      </c>
      <c r="K443" t="str">
        <f t="shared" si="30"/>
        <v>Sep</v>
      </c>
      <c r="L443" t="str">
        <f t="shared" si="31"/>
        <v>High</v>
      </c>
      <c r="M443" t="str">
        <f t="shared" si="32"/>
        <v>Excellent</v>
      </c>
      <c r="N443">
        <f t="shared" si="34"/>
        <v>3174.4</v>
      </c>
      <c r="O443" s="6">
        <v>0.1</v>
      </c>
      <c r="P443">
        <f t="shared" si="33"/>
        <v>3557.6640000000002</v>
      </c>
    </row>
    <row r="444" spans="1:16" x14ac:dyDescent="0.25">
      <c r="A444" t="s">
        <v>480</v>
      </c>
      <c r="B444" s="1">
        <v>45744</v>
      </c>
      <c r="C444" t="s">
        <v>17</v>
      </c>
      <c r="D444" t="s">
        <v>55</v>
      </c>
      <c r="E444" t="s">
        <v>41</v>
      </c>
      <c r="F444" t="s">
        <v>14</v>
      </c>
      <c r="G444" t="s">
        <v>20</v>
      </c>
      <c r="H444">
        <v>112.34</v>
      </c>
      <c r="I444">
        <v>5</v>
      </c>
      <c r="J444">
        <v>561.70000000000005</v>
      </c>
      <c r="K444" t="str">
        <f t="shared" si="30"/>
        <v>Mar</v>
      </c>
      <c r="L444" t="str">
        <f t="shared" si="31"/>
        <v>Low</v>
      </c>
      <c r="M444" t="str">
        <f t="shared" si="32"/>
        <v>Average</v>
      </c>
      <c r="N444">
        <f t="shared" si="34"/>
        <v>-3391.26</v>
      </c>
      <c r="O444" s="6">
        <v>0.1</v>
      </c>
      <c r="P444">
        <f t="shared" si="33"/>
        <v>505.53000000000003</v>
      </c>
    </row>
    <row r="445" spans="1:16" x14ac:dyDescent="0.25">
      <c r="A445" t="s">
        <v>481</v>
      </c>
      <c r="B445" s="1">
        <v>45986</v>
      </c>
      <c r="C445" t="s">
        <v>25</v>
      </c>
      <c r="D445" t="s">
        <v>22</v>
      </c>
      <c r="E445" t="s">
        <v>45</v>
      </c>
      <c r="F445" t="s">
        <v>39</v>
      </c>
      <c r="G445" t="s">
        <v>20</v>
      </c>
      <c r="H445">
        <v>111.54</v>
      </c>
      <c r="I445">
        <v>2</v>
      </c>
      <c r="J445">
        <v>223.08</v>
      </c>
      <c r="K445" t="str">
        <f t="shared" si="30"/>
        <v>Nov</v>
      </c>
      <c r="L445" t="str">
        <f t="shared" si="31"/>
        <v>Low</v>
      </c>
      <c r="M445" t="str">
        <f t="shared" si="32"/>
        <v>Low</v>
      </c>
      <c r="N445">
        <f t="shared" si="34"/>
        <v>-338.62</v>
      </c>
      <c r="O445" s="6">
        <v>0.1</v>
      </c>
      <c r="P445">
        <f t="shared" si="33"/>
        <v>200.77200000000002</v>
      </c>
    </row>
    <row r="446" spans="1:16" x14ac:dyDescent="0.25">
      <c r="A446" t="s">
        <v>482</v>
      </c>
      <c r="B446" s="1">
        <v>45682</v>
      </c>
      <c r="C446" t="s">
        <v>38</v>
      </c>
      <c r="D446" t="s">
        <v>26</v>
      </c>
      <c r="E446" t="s">
        <v>27</v>
      </c>
      <c r="F446" t="s">
        <v>14</v>
      </c>
      <c r="G446" t="s">
        <v>15</v>
      </c>
      <c r="H446">
        <v>208.82</v>
      </c>
      <c r="I446">
        <v>1</v>
      </c>
      <c r="J446">
        <v>208.82</v>
      </c>
      <c r="K446" t="str">
        <f t="shared" si="30"/>
        <v>Jan</v>
      </c>
      <c r="L446" t="str">
        <f t="shared" si="31"/>
        <v>Low</v>
      </c>
      <c r="M446" t="str">
        <f t="shared" si="32"/>
        <v>Low</v>
      </c>
      <c r="N446">
        <f t="shared" si="34"/>
        <v>-14.260000000000019</v>
      </c>
      <c r="O446" s="6">
        <v>0.1</v>
      </c>
      <c r="P446">
        <f t="shared" si="33"/>
        <v>187.93799999999999</v>
      </c>
    </row>
    <row r="447" spans="1:16" x14ac:dyDescent="0.25">
      <c r="A447" t="s">
        <v>483</v>
      </c>
      <c r="B447" s="1">
        <v>46020</v>
      </c>
      <c r="C447" t="s">
        <v>11</v>
      </c>
      <c r="D447" t="s">
        <v>26</v>
      </c>
      <c r="E447" t="s">
        <v>18</v>
      </c>
      <c r="F447" t="s">
        <v>61</v>
      </c>
      <c r="G447" t="s">
        <v>36</v>
      </c>
      <c r="H447">
        <v>238.39</v>
      </c>
      <c r="I447">
        <v>5</v>
      </c>
      <c r="J447">
        <v>1191.95</v>
      </c>
      <c r="K447" t="str">
        <f t="shared" si="30"/>
        <v>Dec</v>
      </c>
      <c r="L447" t="str">
        <f t="shared" si="31"/>
        <v>Low</v>
      </c>
      <c r="M447" t="str">
        <f t="shared" si="32"/>
        <v>Average</v>
      </c>
      <c r="N447">
        <f t="shared" si="34"/>
        <v>983.13000000000011</v>
      </c>
      <c r="O447" s="6">
        <v>0.1</v>
      </c>
      <c r="P447">
        <f t="shared" si="33"/>
        <v>1072.7550000000001</v>
      </c>
    </row>
    <row r="448" spans="1:16" x14ac:dyDescent="0.25">
      <c r="A448" t="s">
        <v>484</v>
      </c>
      <c r="B448" s="1">
        <v>45688</v>
      </c>
      <c r="C448" t="s">
        <v>17</v>
      </c>
      <c r="D448" t="s">
        <v>12</v>
      </c>
      <c r="E448" t="s">
        <v>18</v>
      </c>
      <c r="F448" t="s">
        <v>61</v>
      </c>
      <c r="G448" t="s">
        <v>20</v>
      </c>
      <c r="H448">
        <v>246.92</v>
      </c>
      <c r="I448">
        <v>20</v>
      </c>
      <c r="J448">
        <v>4938.3999999999996</v>
      </c>
      <c r="K448" t="str">
        <f t="shared" si="30"/>
        <v>Jan</v>
      </c>
      <c r="L448" t="str">
        <f t="shared" si="31"/>
        <v>High</v>
      </c>
      <c r="M448" t="str">
        <f t="shared" si="32"/>
        <v>Excellent</v>
      </c>
      <c r="N448">
        <f t="shared" si="34"/>
        <v>3746.45</v>
      </c>
      <c r="O448" s="6">
        <v>0.1</v>
      </c>
      <c r="P448">
        <f t="shared" si="33"/>
        <v>4444.5599999999995</v>
      </c>
    </row>
    <row r="449" spans="1:16" x14ac:dyDescent="0.25">
      <c r="A449" t="s">
        <v>485</v>
      </c>
      <c r="B449" s="1">
        <v>45907</v>
      </c>
      <c r="C449" t="s">
        <v>11</v>
      </c>
      <c r="D449" t="s">
        <v>55</v>
      </c>
      <c r="E449" t="s">
        <v>18</v>
      </c>
      <c r="F449" t="s">
        <v>61</v>
      </c>
      <c r="G449" t="s">
        <v>15</v>
      </c>
      <c r="H449">
        <v>195.74</v>
      </c>
      <c r="I449">
        <v>1</v>
      </c>
      <c r="J449">
        <v>195.74</v>
      </c>
      <c r="K449" t="str">
        <f t="shared" si="30"/>
        <v>Sep</v>
      </c>
      <c r="L449" t="str">
        <f t="shared" si="31"/>
        <v>Low</v>
      </c>
      <c r="M449" t="str">
        <f t="shared" si="32"/>
        <v>Low</v>
      </c>
      <c r="N449">
        <f t="shared" si="34"/>
        <v>-4742.66</v>
      </c>
      <c r="O449" s="6">
        <v>0.1</v>
      </c>
      <c r="P449">
        <f t="shared" si="33"/>
        <v>176.16600000000003</v>
      </c>
    </row>
    <row r="450" spans="1:16" x14ac:dyDescent="0.25">
      <c r="A450" t="s">
        <v>486</v>
      </c>
      <c r="B450" s="1">
        <v>45666</v>
      </c>
      <c r="C450" t="s">
        <v>17</v>
      </c>
      <c r="D450" t="s">
        <v>35</v>
      </c>
      <c r="E450" t="s">
        <v>18</v>
      </c>
      <c r="F450" t="s">
        <v>32</v>
      </c>
      <c r="G450" t="s">
        <v>15</v>
      </c>
      <c r="H450">
        <v>112.78</v>
      </c>
      <c r="I450">
        <v>17</v>
      </c>
      <c r="J450">
        <v>1917.26</v>
      </c>
      <c r="K450" t="str">
        <f t="shared" ref="K450:K513" si="35">TEXT(B450,"MMM")</f>
        <v>Jan</v>
      </c>
      <c r="L450" t="str">
        <f t="shared" ref="L450:L513" si="36">IF(J450&gt;2000,"High","Low")</f>
        <v>Low</v>
      </c>
      <c r="M450" t="str">
        <f t="shared" ref="M450:M513" si="37">IF(J450&gt;3000,"Excellent",
 IF(J450&gt;1500,"Good",
 IF(J450&gt;500,"Average","Low")))</f>
        <v>Good</v>
      </c>
      <c r="N450">
        <f t="shared" si="34"/>
        <v>1721.52</v>
      </c>
      <c r="O450" s="6">
        <v>0.1</v>
      </c>
      <c r="P450">
        <f t="shared" ref="P450:P513" si="38">J450*(1-O450)</f>
        <v>1725.5340000000001</v>
      </c>
    </row>
    <row r="451" spans="1:16" x14ac:dyDescent="0.25">
      <c r="A451" t="s">
        <v>487</v>
      </c>
      <c r="B451" s="1">
        <v>45915</v>
      </c>
      <c r="C451" t="s">
        <v>30</v>
      </c>
      <c r="D451" t="s">
        <v>22</v>
      </c>
      <c r="E451" t="s">
        <v>45</v>
      </c>
      <c r="F451" t="s">
        <v>42</v>
      </c>
      <c r="G451" t="s">
        <v>15</v>
      </c>
      <c r="H451">
        <v>48.37</v>
      </c>
      <c r="I451">
        <v>14</v>
      </c>
      <c r="J451">
        <v>677.18</v>
      </c>
      <c r="K451" t="str">
        <f t="shared" si="35"/>
        <v>Sep</v>
      </c>
      <c r="L451" t="str">
        <f t="shared" si="36"/>
        <v>Low</v>
      </c>
      <c r="M451" t="str">
        <f t="shared" si="37"/>
        <v>Average</v>
      </c>
      <c r="N451">
        <f t="shared" ref="N451:N514" si="39">J451-J450</f>
        <v>-1240.08</v>
      </c>
      <c r="O451" s="6">
        <v>0.1</v>
      </c>
      <c r="P451">
        <f t="shared" si="38"/>
        <v>609.46199999999999</v>
      </c>
    </row>
    <row r="452" spans="1:16" x14ac:dyDescent="0.25">
      <c r="A452" t="s">
        <v>488</v>
      </c>
      <c r="B452" s="1">
        <v>45781</v>
      </c>
      <c r="C452" t="s">
        <v>25</v>
      </c>
      <c r="D452" t="s">
        <v>55</v>
      </c>
      <c r="E452" t="s">
        <v>13</v>
      </c>
      <c r="F452" t="s">
        <v>39</v>
      </c>
      <c r="G452" t="s">
        <v>36</v>
      </c>
      <c r="H452">
        <v>200.97</v>
      </c>
      <c r="I452">
        <v>7</v>
      </c>
      <c r="J452">
        <v>1406.79</v>
      </c>
      <c r="K452" t="str">
        <f t="shared" si="35"/>
        <v>May</v>
      </c>
      <c r="L452" t="str">
        <f t="shared" si="36"/>
        <v>Low</v>
      </c>
      <c r="M452" t="str">
        <f t="shared" si="37"/>
        <v>Average</v>
      </c>
      <c r="N452">
        <f t="shared" si="39"/>
        <v>729.61</v>
      </c>
      <c r="O452" s="6">
        <v>0.1</v>
      </c>
      <c r="P452">
        <f t="shared" si="38"/>
        <v>1266.1110000000001</v>
      </c>
    </row>
    <row r="453" spans="1:16" x14ac:dyDescent="0.25">
      <c r="A453" t="s">
        <v>489</v>
      </c>
      <c r="B453" s="1">
        <v>45794</v>
      </c>
      <c r="C453" t="s">
        <v>11</v>
      </c>
      <c r="D453" t="s">
        <v>35</v>
      </c>
      <c r="E453" t="s">
        <v>41</v>
      </c>
      <c r="F453" t="s">
        <v>61</v>
      </c>
      <c r="G453" t="s">
        <v>20</v>
      </c>
      <c r="H453">
        <v>152.85</v>
      </c>
      <c r="I453">
        <v>13</v>
      </c>
      <c r="J453">
        <v>1987.05</v>
      </c>
      <c r="K453" t="str">
        <f t="shared" si="35"/>
        <v>May</v>
      </c>
      <c r="L453" t="str">
        <f t="shared" si="36"/>
        <v>Low</v>
      </c>
      <c r="M453" t="str">
        <f t="shared" si="37"/>
        <v>Good</v>
      </c>
      <c r="N453">
        <f t="shared" si="39"/>
        <v>580.26</v>
      </c>
      <c r="O453" s="6">
        <v>0.1</v>
      </c>
      <c r="P453">
        <f t="shared" si="38"/>
        <v>1788.345</v>
      </c>
    </row>
    <row r="454" spans="1:16" x14ac:dyDescent="0.25">
      <c r="A454" t="s">
        <v>490</v>
      </c>
      <c r="B454" s="1">
        <v>45782</v>
      </c>
      <c r="C454" t="s">
        <v>34</v>
      </c>
      <c r="D454" t="s">
        <v>12</v>
      </c>
      <c r="E454" t="s">
        <v>45</v>
      </c>
      <c r="F454" t="s">
        <v>28</v>
      </c>
      <c r="G454" t="s">
        <v>20</v>
      </c>
      <c r="H454">
        <v>123.33</v>
      </c>
      <c r="I454">
        <v>8</v>
      </c>
      <c r="J454">
        <v>986.64</v>
      </c>
      <c r="K454" t="str">
        <f t="shared" si="35"/>
        <v>May</v>
      </c>
      <c r="L454" t="str">
        <f t="shared" si="36"/>
        <v>Low</v>
      </c>
      <c r="M454" t="str">
        <f t="shared" si="37"/>
        <v>Average</v>
      </c>
      <c r="N454">
        <f t="shared" si="39"/>
        <v>-1000.41</v>
      </c>
      <c r="O454" s="6">
        <v>0.1</v>
      </c>
      <c r="P454">
        <f t="shared" si="38"/>
        <v>887.976</v>
      </c>
    </row>
    <row r="455" spans="1:16" x14ac:dyDescent="0.25">
      <c r="A455" t="s">
        <v>491</v>
      </c>
      <c r="B455" s="1">
        <v>45674</v>
      </c>
      <c r="C455" t="s">
        <v>38</v>
      </c>
      <c r="D455" t="s">
        <v>31</v>
      </c>
      <c r="E455" t="s">
        <v>41</v>
      </c>
      <c r="F455" t="s">
        <v>42</v>
      </c>
      <c r="G455" t="s">
        <v>36</v>
      </c>
      <c r="H455">
        <v>229.4</v>
      </c>
      <c r="I455">
        <v>3</v>
      </c>
      <c r="J455">
        <v>688.2</v>
      </c>
      <c r="K455" t="str">
        <f t="shared" si="35"/>
        <v>Jan</v>
      </c>
      <c r="L455" t="str">
        <f t="shared" si="36"/>
        <v>Low</v>
      </c>
      <c r="M455" t="str">
        <f t="shared" si="37"/>
        <v>Average</v>
      </c>
      <c r="N455">
        <f t="shared" si="39"/>
        <v>-298.43999999999994</v>
      </c>
      <c r="O455" s="6">
        <v>0.1</v>
      </c>
      <c r="P455">
        <f t="shared" si="38"/>
        <v>619.38000000000011</v>
      </c>
    </row>
    <row r="456" spans="1:16" x14ac:dyDescent="0.25">
      <c r="A456" t="s">
        <v>492</v>
      </c>
      <c r="B456" s="1">
        <v>45686</v>
      </c>
      <c r="C456" t="s">
        <v>17</v>
      </c>
      <c r="D456" t="s">
        <v>26</v>
      </c>
      <c r="E456" t="s">
        <v>45</v>
      </c>
      <c r="F456" t="s">
        <v>61</v>
      </c>
      <c r="G456" t="s">
        <v>36</v>
      </c>
      <c r="H456">
        <v>54.46</v>
      </c>
      <c r="I456">
        <v>1</v>
      </c>
      <c r="J456">
        <v>54.46</v>
      </c>
      <c r="K456" t="str">
        <f t="shared" si="35"/>
        <v>Jan</v>
      </c>
      <c r="L456" t="str">
        <f t="shared" si="36"/>
        <v>Low</v>
      </c>
      <c r="M456" t="str">
        <f t="shared" si="37"/>
        <v>Low</v>
      </c>
      <c r="N456">
        <f t="shared" si="39"/>
        <v>-633.74</v>
      </c>
      <c r="O456" s="6">
        <v>0.1</v>
      </c>
      <c r="P456">
        <f t="shared" si="38"/>
        <v>49.014000000000003</v>
      </c>
    </row>
    <row r="457" spans="1:16" x14ac:dyDescent="0.25">
      <c r="A457" t="s">
        <v>493</v>
      </c>
      <c r="B457" s="1">
        <v>45988</v>
      </c>
      <c r="C457" t="s">
        <v>25</v>
      </c>
      <c r="D457" t="s">
        <v>22</v>
      </c>
      <c r="E457" t="s">
        <v>18</v>
      </c>
      <c r="F457" t="s">
        <v>19</v>
      </c>
      <c r="G457" t="s">
        <v>15</v>
      </c>
      <c r="H457">
        <v>138.38</v>
      </c>
      <c r="I457">
        <v>11</v>
      </c>
      <c r="J457">
        <v>1522.18</v>
      </c>
      <c r="K457" t="str">
        <f t="shared" si="35"/>
        <v>Nov</v>
      </c>
      <c r="L457" t="str">
        <f t="shared" si="36"/>
        <v>Low</v>
      </c>
      <c r="M457" t="str">
        <f t="shared" si="37"/>
        <v>Good</v>
      </c>
      <c r="N457">
        <f t="shared" si="39"/>
        <v>1467.72</v>
      </c>
      <c r="O457" s="6">
        <v>0.1</v>
      </c>
      <c r="P457">
        <f t="shared" si="38"/>
        <v>1369.962</v>
      </c>
    </row>
    <row r="458" spans="1:16" x14ac:dyDescent="0.25">
      <c r="A458" t="s">
        <v>494</v>
      </c>
      <c r="B458" s="1">
        <v>45766</v>
      </c>
      <c r="C458" t="s">
        <v>38</v>
      </c>
      <c r="D458" t="s">
        <v>35</v>
      </c>
      <c r="E458" t="s">
        <v>45</v>
      </c>
      <c r="F458" t="s">
        <v>19</v>
      </c>
      <c r="G458" t="s">
        <v>20</v>
      </c>
      <c r="H458">
        <v>32.5</v>
      </c>
      <c r="I458">
        <v>19</v>
      </c>
      <c r="J458">
        <v>617.5</v>
      </c>
      <c r="K458" t="str">
        <f t="shared" si="35"/>
        <v>Apr</v>
      </c>
      <c r="L458" t="str">
        <f t="shared" si="36"/>
        <v>Low</v>
      </c>
      <c r="M458" t="str">
        <f t="shared" si="37"/>
        <v>Average</v>
      </c>
      <c r="N458">
        <f t="shared" si="39"/>
        <v>-904.68000000000006</v>
      </c>
      <c r="O458" s="6">
        <v>0.1</v>
      </c>
      <c r="P458">
        <f t="shared" si="38"/>
        <v>555.75</v>
      </c>
    </row>
    <row r="459" spans="1:16" x14ac:dyDescent="0.25">
      <c r="A459" t="s">
        <v>495</v>
      </c>
      <c r="B459" s="1">
        <v>45801</v>
      </c>
      <c r="C459" t="s">
        <v>25</v>
      </c>
      <c r="D459" t="s">
        <v>12</v>
      </c>
      <c r="E459" t="s">
        <v>45</v>
      </c>
      <c r="F459" t="s">
        <v>14</v>
      </c>
      <c r="G459" t="s">
        <v>36</v>
      </c>
      <c r="H459">
        <v>133.11000000000001</v>
      </c>
      <c r="I459">
        <v>18</v>
      </c>
      <c r="J459">
        <v>2395.98</v>
      </c>
      <c r="K459" t="str">
        <f t="shared" si="35"/>
        <v>May</v>
      </c>
      <c r="L459" t="str">
        <f t="shared" si="36"/>
        <v>High</v>
      </c>
      <c r="M459" t="str">
        <f t="shared" si="37"/>
        <v>Good</v>
      </c>
      <c r="N459">
        <f t="shared" si="39"/>
        <v>1778.48</v>
      </c>
      <c r="O459" s="6">
        <v>0.1</v>
      </c>
      <c r="P459">
        <f t="shared" si="38"/>
        <v>2156.3820000000001</v>
      </c>
    </row>
    <row r="460" spans="1:16" x14ac:dyDescent="0.25">
      <c r="A460" t="s">
        <v>496</v>
      </c>
      <c r="B460" s="1">
        <v>45666</v>
      </c>
      <c r="C460" t="s">
        <v>25</v>
      </c>
      <c r="D460" t="s">
        <v>26</v>
      </c>
      <c r="E460" t="s">
        <v>27</v>
      </c>
      <c r="F460" t="s">
        <v>39</v>
      </c>
      <c r="G460" t="s">
        <v>36</v>
      </c>
      <c r="H460">
        <v>42.39</v>
      </c>
      <c r="I460">
        <v>7</v>
      </c>
      <c r="J460">
        <v>296.73</v>
      </c>
      <c r="K460" t="str">
        <f t="shared" si="35"/>
        <v>Jan</v>
      </c>
      <c r="L460" t="str">
        <f t="shared" si="36"/>
        <v>Low</v>
      </c>
      <c r="M460" t="str">
        <f t="shared" si="37"/>
        <v>Low</v>
      </c>
      <c r="N460">
        <f t="shared" si="39"/>
        <v>-2099.25</v>
      </c>
      <c r="O460" s="6">
        <v>0.1</v>
      </c>
      <c r="P460">
        <f t="shared" si="38"/>
        <v>267.05700000000002</v>
      </c>
    </row>
    <row r="461" spans="1:16" x14ac:dyDescent="0.25">
      <c r="A461" t="s">
        <v>497</v>
      </c>
      <c r="B461" s="1">
        <v>45697</v>
      </c>
      <c r="C461" t="s">
        <v>30</v>
      </c>
      <c r="D461" t="s">
        <v>55</v>
      </c>
      <c r="E461" t="s">
        <v>23</v>
      </c>
      <c r="F461" t="s">
        <v>42</v>
      </c>
      <c r="G461" t="s">
        <v>36</v>
      </c>
      <c r="H461">
        <v>56.14</v>
      </c>
      <c r="I461">
        <v>10</v>
      </c>
      <c r="J461">
        <v>561.4</v>
      </c>
      <c r="K461" t="str">
        <f t="shared" si="35"/>
        <v>Feb</v>
      </c>
      <c r="L461" t="str">
        <f t="shared" si="36"/>
        <v>Low</v>
      </c>
      <c r="M461" t="str">
        <f t="shared" si="37"/>
        <v>Average</v>
      </c>
      <c r="N461">
        <f t="shared" si="39"/>
        <v>264.66999999999996</v>
      </c>
      <c r="O461" s="6">
        <v>0.1</v>
      </c>
      <c r="P461">
        <f t="shared" si="38"/>
        <v>505.26</v>
      </c>
    </row>
    <row r="462" spans="1:16" x14ac:dyDescent="0.25">
      <c r="A462" t="s">
        <v>498</v>
      </c>
      <c r="B462" s="1">
        <v>46004</v>
      </c>
      <c r="C462" t="s">
        <v>34</v>
      </c>
      <c r="D462" t="s">
        <v>31</v>
      </c>
      <c r="E462" t="s">
        <v>27</v>
      </c>
      <c r="F462" t="s">
        <v>14</v>
      </c>
      <c r="G462" t="s">
        <v>20</v>
      </c>
      <c r="H462">
        <v>55.86</v>
      </c>
      <c r="I462">
        <v>18</v>
      </c>
      <c r="J462">
        <v>1005.48</v>
      </c>
      <c r="K462" t="str">
        <f t="shared" si="35"/>
        <v>Dec</v>
      </c>
      <c r="L462" t="str">
        <f t="shared" si="36"/>
        <v>Low</v>
      </c>
      <c r="M462" t="str">
        <f t="shared" si="37"/>
        <v>Average</v>
      </c>
      <c r="N462">
        <f t="shared" si="39"/>
        <v>444.08000000000004</v>
      </c>
      <c r="O462" s="6">
        <v>0.1</v>
      </c>
      <c r="P462">
        <f t="shared" si="38"/>
        <v>904.93200000000002</v>
      </c>
    </row>
    <row r="463" spans="1:16" x14ac:dyDescent="0.25">
      <c r="A463" t="s">
        <v>499</v>
      </c>
      <c r="B463" s="1">
        <v>45698</v>
      </c>
      <c r="C463" t="s">
        <v>17</v>
      </c>
      <c r="D463" t="s">
        <v>35</v>
      </c>
      <c r="E463" t="s">
        <v>45</v>
      </c>
      <c r="F463" t="s">
        <v>19</v>
      </c>
      <c r="G463" t="s">
        <v>36</v>
      </c>
      <c r="H463">
        <v>172.83</v>
      </c>
      <c r="I463">
        <v>17</v>
      </c>
      <c r="J463">
        <v>2938.11</v>
      </c>
      <c r="K463" t="str">
        <f t="shared" si="35"/>
        <v>Feb</v>
      </c>
      <c r="L463" t="str">
        <f t="shared" si="36"/>
        <v>High</v>
      </c>
      <c r="M463" t="str">
        <f t="shared" si="37"/>
        <v>Good</v>
      </c>
      <c r="N463">
        <f t="shared" si="39"/>
        <v>1932.63</v>
      </c>
      <c r="O463" s="6">
        <v>0.1</v>
      </c>
      <c r="P463">
        <f t="shared" si="38"/>
        <v>2644.299</v>
      </c>
    </row>
    <row r="464" spans="1:16" x14ac:dyDescent="0.25">
      <c r="A464" t="s">
        <v>500</v>
      </c>
      <c r="B464" s="1">
        <v>45776</v>
      </c>
      <c r="C464" t="s">
        <v>34</v>
      </c>
      <c r="D464" t="s">
        <v>55</v>
      </c>
      <c r="E464" t="s">
        <v>18</v>
      </c>
      <c r="F464" t="s">
        <v>42</v>
      </c>
      <c r="G464" t="s">
        <v>36</v>
      </c>
      <c r="H464">
        <v>194.13</v>
      </c>
      <c r="I464">
        <v>3</v>
      </c>
      <c r="J464">
        <v>582.39</v>
      </c>
      <c r="K464" t="str">
        <f t="shared" si="35"/>
        <v>Apr</v>
      </c>
      <c r="L464" t="str">
        <f t="shared" si="36"/>
        <v>Low</v>
      </c>
      <c r="M464" t="str">
        <f t="shared" si="37"/>
        <v>Average</v>
      </c>
      <c r="N464">
        <f t="shared" si="39"/>
        <v>-2355.7200000000003</v>
      </c>
      <c r="O464" s="6">
        <v>0.1</v>
      </c>
      <c r="P464">
        <f t="shared" si="38"/>
        <v>524.15099999999995</v>
      </c>
    </row>
    <row r="465" spans="1:16" x14ac:dyDescent="0.25">
      <c r="A465" t="s">
        <v>501</v>
      </c>
      <c r="B465" s="1">
        <v>45825</v>
      </c>
      <c r="C465" t="s">
        <v>17</v>
      </c>
      <c r="D465" t="s">
        <v>35</v>
      </c>
      <c r="E465" t="s">
        <v>41</v>
      </c>
      <c r="F465" t="s">
        <v>61</v>
      </c>
      <c r="G465" t="s">
        <v>15</v>
      </c>
      <c r="H465">
        <v>158.34</v>
      </c>
      <c r="I465">
        <v>1</v>
      </c>
      <c r="J465">
        <v>158.34</v>
      </c>
      <c r="K465" t="str">
        <f t="shared" si="35"/>
        <v>Jun</v>
      </c>
      <c r="L465" t="str">
        <f t="shared" si="36"/>
        <v>Low</v>
      </c>
      <c r="M465" t="str">
        <f t="shared" si="37"/>
        <v>Low</v>
      </c>
      <c r="N465">
        <f t="shared" si="39"/>
        <v>-424.04999999999995</v>
      </c>
      <c r="O465" s="6">
        <v>0.1</v>
      </c>
      <c r="P465">
        <f t="shared" si="38"/>
        <v>142.506</v>
      </c>
    </row>
    <row r="466" spans="1:16" x14ac:dyDescent="0.25">
      <c r="A466" t="s">
        <v>502</v>
      </c>
      <c r="B466" s="1">
        <v>45840</v>
      </c>
      <c r="C466" t="s">
        <v>38</v>
      </c>
      <c r="D466" t="s">
        <v>31</v>
      </c>
      <c r="E466" t="s">
        <v>23</v>
      </c>
      <c r="F466" t="s">
        <v>28</v>
      </c>
      <c r="G466" t="s">
        <v>20</v>
      </c>
      <c r="H466">
        <v>241.68</v>
      </c>
      <c r="I466">
        <v>18</v>
      </c>
      <c r="J466">
        <v>4350.24</v>
      </c>
      <c r="K466" t="str">
        <f t="shared" si="35"/>
        <v>Jul</v>
      </c>
      <c r="L466" t="str">
        <f t="shared" si="36"/>
        <v>High</v>
      </c>
      <c r="M466" t="str">
        <f t="shared" si="37"/>
        <v>Excellent</v>
      </c>
      <c r="N466">
        <f t="shared" si="39"/>
        <v>4191.8999999999996</v>
      </c>
      <c r="O466" s="6">
        <v>0.1</v>
      </c>
      <c r="P466">
        <f t="shared" si="38"/>
        <v>3915.2159999999999</v>
      </c>
    </row>
    <row r="467" spans="1:16" x14ac:dyDescent="0.25">
      <c r="A467" t="s">
        <v>503</v>
      </c>
      <c r="B467" s="1">
        <v>45996</v>
      </c>
      <c r="C467" t="s">
        <v>11</v>
      </c>
      <c r="D467" t="s">
        <v>55</v>
      </c>
      <c r="E467" t="s">
        <v>13</v>
      </c>
      <c r="F467" t="s">
        <v>39</v>
      </c>
      <c r="G467" t="s">
        <v>15</v>
      </c>
      <c r="H467">
        <v>112.47</v>
      </c>
      <c r="I467">
        <v>13</v>
      </c>
      <c r="J467">
        <v>1462.11</v>
      </c>
      <c r="K467" t="str">
        <f t="shared" si="35"/>
        <v>Dec</v>
      </c>
      <c r="L467" t="str">
        <f t="shared" si="36"/>
        <v>Low</v>
      </c>
      <c r="M467" t="str">
        <f t="shared" si="37"/>
        <v>Average</v>
      </c>
      <c r="N467">
        <f t="shared" si="39"/>
        <v>-2888.13</v>
      </c>
      <c r="O467" s="6">
        <v>0.1</v>
      </c>
      <c r="P467">
        <f t="shared" si="38"/>
        <v>1315.8989999999999</v>
      </c>
    </row>
    <row r="468" spans="1:16" x14ac:dyDescent="0.25">
      <c r="A468" t="s">
        <v>504</v>
      </c>
      <c r="B468" s="1">
        <v>45695</v>
      </c>
      <c r="C468" t="s">
        <v>34</v>
      </c>
      <c r="D468" t="s">
        <v>26</v>
      </c>
      <c r="E468" t="s">
        <v>41</v>
      </c>
      <c r="F468" t="s">
        <v>28</v>
      </c>
      <c r="G468" t="s">
        <v>20</v>
      </c>
      <c r="H468">
        <v>92.86</v>
      </c>
      <c r="I468">
        <v>3</v>
      </c>
      <c r="J468">
        <v>278.58</v>
      </c>
      <c r="K468" t="str">
        <f t="shared" si="35"/>
        <v>Feb</v>
      </c>
      <c r="L468" t="str">
        <f t="shared" si="36"/>
        <v>Low</v>
      </c>
      <c r="M468" t="str">
        <f t="shared" si="37"/>
        <v>Low</v>
      </c>
      <c r="N468">
        <f t="shared" si="39"/>
        <v>-1183.53</v>
      </c>
      <c r="O468" s="6">
        <v>0.1</v>
      </c>
      <c r="P468">
        <f t="shared" si="38"/>
        <v>250.72199999999998</v>
      </c>
    </row>
    <row r="469" spans="1:16" x14ac:dyDescent="0.25">
      <c r="A469" t="s">
        <v>505</v>
      </c>
      <c r="B469" s="1">
        <v>45736</v>
      </c>
      <c r="C469" t="s">
        <v>34</v>
      </c>
      <c r="D469" t="s">
        <v>35</v>
      </c>
      <c r="E469" t="s">
        <v>45</v>
      </c>
      <c r="F469" t="s">
        <v>19</v>
      </c>
      <c r="G469" t="s">
        <v>15</v>
      </c>
      <c r="H469">
        <v>221.09</v>
      </c>
      <c r="I469">
        <v>13</v>
      </c>
      <c r="J469">
        <v>2874.17</v>
      </c>
      <c r="K469" t="str">
        <f t="shared" si="35"/>
        <v>Mar</v>
      </c>
      <c r="L469" t="str">
        <f t="shared" si="36"/>
        <v>High</v>
      </c>
      <c r="M469" t="str">
        <f t="shared" si="37"/>
        <v>Good</v>
      </c>
      <c r="N469">
        <f t="shared" si="39"/>
        <v>2595.59</v>
      </c>
      <c r="O469" s="6">
        <v>0.1</v>
      </c>
      <c r="P469">
        <f t="shared" si="38"/>
        <v>2586.7530000000002</v>
      </c>
    </row>
    <row r="470" spans="1:16" x14ac:dyDescent="0.25">
      <c r="A470" t="s">
        <v>506</v>
      </c>
      <c r="B470" s="1">
        <v>45815</v>
      </c>
      <c r="C470" t="s">
        <v>34</v>
      </c>
      <c r="D470" t="s">
        <v>35</v>
      </c>
      <c r="E470" t="s">
        <v>45</v>
      </c>
      <c r="F470" t="s">
        <v>14</v>
      </c>
      <c r="G470" t="s">
        <v>15</v>
      </c>
      <c r="H470">
        <v>79.19</v>
      </c>
      <c r="I470">
        <v>15</v>
      </c>
      <c r="J470">
        <v>1187.8499999999999</v>
      </c>
      <c r="K470" t="str">
        <f t="shared" si="35"/>
        <v>Jun</v>
      </c>
      <c r="L470" t="str">
        <f t="shared" si="36"/>
        <v>Low</v>
      </c>
      <c r="M470" t="str">
        <f t="shared" si="37"/>
        <v>Average</v>
      </c>
      <c r="N470">
        <f t="shared" si="39"/>
        <v>-1686.3200000000002</v>
      </c>
      <c r="O470" s="6">
        <v>0.1</v>
      </c>
      <c r="P470">
        <f t="shared" si="38"/>
        <v>1069.0650000000001</v>
      </c>
    </row>
    <row r="471" spans="1:16" x14ac:dyDescent="0.25">
      <c r="A471" t="s">
        <v>507</v>
      </c>
      <c r="B471" s="1">
        <v>45753</v>
      </c>
      <c r="C471" t="s">
        <v>38</v>
      </c>
      <c r="D471" t="s">
        <v>55</v>
      </c>
      <c r="E471" t="s">
        <v>18</v>
      </c>
      <c r="F471" t="s">
        <v>42</v>
      </c>
      <c r="G471" t="s">
        <v>36</v>
      </c>
      <c r="H471">
        <v>241.91</v>
      </c>
      <c r="I471">
        <v>14</v>
      </c>
      <c r="J471">
        <v>3386.74</v>
      </c>
      <c r="K471" t="str">
        <f t="shared" si="35"/>
        <v>Apr</v>
      </c>
      <c r="L471" t="str">
        <f t="shared" si="36"/>
        <v>High</v>
      </c>
      <c r="M471" t="str">
        <f t="shared" si="37"/>
        <v>Excellent</v>
      </c>
      <c r="N471">
        <f t="shared" si="39"/>
        <v>2198.89</v>
      </c>
      <c r="O471" s="6">
        <v>0.1</v>
      </c>
      <c r="P471">
        <f t="shared" si="38"/>
        <v>3048.0659999999998</v>
      </c>
    </row>
    <row r="472" spans="1:16" x14ac:dyDescent="0.25">
      <c r="A472" t="s">
        <v>508</v>
      </c>
      <c r="B472" s="1">
        <v>45710</v>
      </c>
      <c r="C472" t="s">
        <v>11</v>
      </c>
      <c r="D472" t="s">
        <v>35</v>
      </c>
      <c r="E472" t="s">
        <v>18</v>
      </c>
      <c r="F472" t="s">
        <v>19</v>
      </c>
      <c r="G472" t="s">
        <v>20</v>
      </c>
      <c r="H472">
        <v>32.67</v>
      </c>
      <c r="I472">
        <v>1</v>
      </c>
      <c r="J472">
        <v>32.67</v>
      </c>
      <c r="K472" t="str">
        <f t="shared" si="35"/>
        <v>Feb</v>
      </c>
      <c r="L472" t="str">
        <f t="shared" si="36"/>
        <v>Low</v>
      </c>
      <c r="M472" t="str">
        <f t="shared" si="37"/>
        <v>Low</v>
      </c>
      <c r="N472">
        <f t="shared" si="39"/>
        <v>-3354.0699999999997</v>
      </c>
      <c r="O472" s="6">
        <v>0.1</v>
      </c>
      <c r="P472">
        <f t="shared" si="38"/>
        <v>29.403000000000002</v>
      </c>
    </row>
    <row r="473" spans="1:16" x14ac:dyDescent="0.25">
      <c r="A473" t="s">
        <v>509</v>
      </c>
      <c r="B473" s="1">
        <v>45964</v>
      </c>
      <c r="C473" t="s">
        <v>38</v>
      </c>
      <c r="D473" t="s">
        <v>22</v>
      </c>
      <c r="E473" t="s">
        <v>13</v>
      </c>
      <c r="F473" t="s">
        <v>61</v>
      </c>
      <c r="G473" t="s">
        <v>36</v>
      </c>
      <c r="H473">
        <v>243.37</v>
      </c>
      <c r="I473">
        <v>11</v>
      </c>
      <c r="J473">
        <v>2677.07</v>
      </c>
      <c r="K473" t="str">
        <f t="shared" si="35"/>
        <v>Nov</v>
      </c>
      <c r="L473" t="str">
        <f t="shared" si="36"/>
        <v>High</v>
      </c>
      <c r="M473" t="str">
        <f t="shared" si="37"/>
        <v>Good</v>
      </c>
      <c r="N473">
        <f t="shared" si="39"/>
        <v>2644.4</v>
      </c>
      <c r="O473" s="6">
        <v>0.1</v>
      </c>
      <c r="P473">
        <f t="shared" si="38"/>
        <v>2409.3630000000003</v>
      </c>
    </row>
    <row r="474" spans="1:16" x14ac:dyDescent="0.25">
      <c r="A474" t="s">
        <v>510</v>
      </c>
      <c r="B474" s="1">
        <v>45701</v>
      </c>
      <c r="C474" t="s">
        <v>30</v>
      </c>
      <c r="D474" t="s">
        <v>55</v>
      </c>
      <c r="E474" t="s">
        <v>18</v>
      </c>
      <c r="F474" t="s">
        <v>14</v>
      </c>
      <c r="G474" t="s">
        <v>20</v>
      </c>
      <c r="H474">
        <v>39.5</v>
      </c>
      <c r="I474">
        <v>18</v>
      </c>
      <c r="J474">
        <v>711</v>
      </c>
      <c r="K474" t="str">
        <f t="shared" si="35"/>
        <v>Feb</v>
      </c>
      <c r="L474" t="str">
        <f t="shared" si="36"/>
        <v>Low</v>
      </c>
      <c r="M474" t="str">
        <f t="shared" si="37"/>
        <v>Average</v>
      </c>
      <c r="N474">
        <f t="shared" si="39"/>
        <v>-1966.0700000000002</v>
      </c>
      <c r="O474" s="6">
        <v>0.1</v>
      </c>
      <c r="P474">
        <f t="shared" si="38"/>
        <v>639.9</v>
      </c>
    </row>
    <row r="475" spans="1:16" x14ac:dyDescent="0.25">
      <c r="A475" t="s">
        <v>511</v>
      </c>
      <c r="B475" s="1">
        <v>45852</v>
      </c>
      <c r="C475" t="s">
        <v>30</v>
      </c>
      <c r="D475" t="s">
        <v>35</v>
      </c>
      <c r="E475" t="s">
        <v>13</v>
      </c>
      <c r="F475" t="s">
        <v>32</v>
      </c>
      <c r="G475" t="s">
        <v>36</v>
      </c>
      <c r="H475">
        <v>226.05</v>
      </c>
      <c r="I475">
        <v>6</v>
      </c>
      <c r="J475">
        <v>1356.3</v>
      </c>
      <c r="K475" t="str">
        <f t="shared" si="35"/>
        <v>Jul</v>
      </c>
      <c r="L475" t="str">
        <f t="shared" si="36"/>
        <v>Low</v>
      </c>
      <c r="M475" t="str">
        <f t="shared" si="37"/>
        <v>Average</v>
      </c>
      <c r="N475">
        <f t="shared" si="39"/>
        <v>645.29999999999995</v>
      </c>
      <c r="O475" s="6">
        <v>0.1</v>
      </c>
      <c r="P475">
        <f t="shared" si="38"/>
        <v>1220.67</v>
      </c>
    </row>
    <row r="476" spans="1:16" x14ac:dyDescent="0.25">
      <c r="A476" t="s">
        <v>512</v>
      </c>
      <c r="B476" s="1">
        <v>45732</v>
      </c>
      <c r="C476" t="s">
        <v>30</v>
      </c>
      <c r="D476" t="s">
        <v>31</v>
      </c>
      <c r="E476" t="s">
        <v>13</v>
      </c>
      <c r="F476" t="s">
        <v>61</v>
      </c>
      <c r="G476" t="s">
        <v>36</v>
      </c>
      <c r="H476">
        <v>146.09</v>
      </c>
      <c r="I476">
        <v>3</v>
      </c>
      <c r="J476">
        <v>438.27</v>
      </c>
      <c r="K476" t="str">
        <f t="shared" si="35"/>
        <v>Mar</v>
      </c>
      <c r="L476" t="str">
        <f t="shared" si="36"/>
        <v>Low</v>
      </c>
      <c r="M476" t="str">
        <f t="shared" si="37"/>
        <v>Low</v>
      </c>
      <c r="N476">
        <f t="shared" si="39"/>
        <v>-918.03</v>
      </c>
      <c r="O476" s="6">
        <v>0.1</v>
      </c>
      <c r="P476">
        <f t="shared" si="38"/>
        <v>394.44299999999998</v>
      </c>
    </row>
    <row r="477" spans="1:16" x14ac:dyDescent="0.25">
      <c r="A477" t="s">
        <v>513</v>
      </c>
      <c r="B477" s="1">
        <v>45905</v>
      </c>
      <c r="C477" t="s">
        <v>34</v>
      </c>
      <c r="D477" t="s">
        <v>35</v>
      </c>
      <c r="E477" t="s">
        <v>23</v>
      </c>
      <c r="F477" t="s">
        <v>28</v>
      </c>
      <c r="G477" t="s">
        <v>20</v>
      </c>
      <c r="H477">
        <v>248.45</v>
      </c>
      <c r="I477">
        <v>3</v>
      </c>
      <c r="J477">
        <v>745.35</v>
      </c>
      <c r="K477" t="str">
        <f t="shared" si="35"/>
        <v>Sep</v>
      </c>
      <c r="L477" t="str">
        <f t="shared" si="36"/>
        <v>Low</v>
      </c>
      <c r="M477" t="str">
        <f t="shared" si="37"/>
        <v>Average</v>
      </c>
      <c r="N477">
        <f t="shared" si="39"/>
        <v>307.08000000000004</v>
      </c>
      <c r="O477" s="6">
        <v>0.1</v>
      </c>
      <c r="P477">
        <f t="shared" si="38"/>
        <v>670.81500000000005</v>
      </c>
    </row>
    <row r="478" spans="1:16" x14ac:dyDescent="0.25">
      <c r="A478" t="s">
        <v>514</v>
      </c>
      <c r="B478" s="1">
        <v>45911</v>
      </c>
      <c r="C478" t="s">
        <v>25</v>
      </c>
      <c r="D478" t="s">
        <v>26</v>
      </c>
      <c r="E478" t="s">
        <v>41</v>
      </c>
      <c r="F478" t="s">
        <v>19</v>
      </c>
      <c r="G478" t="s">
        <v>15</v>
      </c>
      <c r="H478">
        <v>46.24</v>
      </c>
      <c r="I478">
        <v>20</v>
      </c>
      <c r="J478">
        <v>924.8</v>
      </c>
      <c r="K478" t="str">
        <f t="shared" si="35"/>
        <v>Sep</v>
      </c>
      <c r="L478" t="str">
        <f t="shared" si="36"/>
        <v>Low</v>
      </c>
      <c r="M478" t="str">
        <f t="shared" si="37"/>
        <v>Average</v>
      </c>
      <c r="N478">
        <f t="shared" si="39"/>
        <v>179.44999999999993</v>
      </c>
      <c r="O478" s="6">
        <v>0.1</v>
      </c>
      <c r="P478">
        <f t="shared" si="38"/>
        <v>832.31999999999994</v>
      </c>
    </row>
    <row r="479" spans="1:16" x14ac:dyDescent="0.25">
      <c r="A479" t="s">
        <v>515</v>
      </c>
      <c r="B479" s="1">
        <v>45813</v>
      </c>
      <c r="C479" t="s">
        <v>38</v>
      </c>
      <c r="D479" t="s">
        <v>35</v>
      </c>
      <c r="E479" t="s">
        <v>18</v>
      </c>
      <c r="F479" t="s">
        <v>61</v>
      </c>
      <c r="G479" t="s">
        <v>36</v>
      </c>
      <c r="H479">
        <v>151.85</v>
      </c>
      <c r="I479">
        <v>1</v>
      </c>
      <c r="J479">
        <v>151.85</v>
      </c>
      <c r="K479" t="str">
        <f t="shared" si="35"/>
        <v>Jun</v>
      </c>
      <c r="L479" t="str">
        <f t="shared" si="36"/>
        <v>Low</v>
      </c>
      <c r="M479" t="str">
        <f t="shared" si="37"/>
        <v>Low</v>
      </c>
      <c r="N479">
        <f t="shared" si="39"/>
        <v>-772.94999999999993</v>
      </c>
      <c r="O479" s="6">
        <v>0.1</v>
      </c>
      <c r="P479">
        <f t="shared" si="38"/>
        <v>136.66499999999999</v>
      </c>
    </row>
    <row r="480" spans="1:16" x14ac:dyDescent="0.25">
      <c r="A480" t="s">
        <v>516</v>
      </c>
      <c r="B480" s="1">
        <v>45883</v>
      </c>
      <c r="C480" t="s">
        <v>38</v>
      </c>
      <c r="D480" t="s">
        <v>12</v>
      </c>
      <c r="E480" t="s">
        <v>18</v>
      </c>
      <c r="F480" t="s">
        <v>14</v>
      </c>
      <c r="G480" t="s">
        <v>36</v>
      </c>
      <c r="H480">
        <v>243.25</v>
      </c>
      <c r="I480">
        <v>11</v>
      </c>
      <c r="J480">
        <v>2675.75</v>
      </c>
      <c r="K480" t="str">
        <f t="shared" si="35"/>
        <v>Aug</v>
      </c>
      <c r="L480" t="str">
        <f t="shared" si="36"/>
        <v>High</v>
      </c>
      <c r="M480" t="str">
        <f t="shared" si="37"/>
        <v>Good</v>
      </c>
      <c r="N480">
        <f t="shared" si="39"/>
        <v>2523.9</v>
      </c>
      <c r="O480" s="6">
        <v>0.1</v>
      </c>
      <c r="P480">
        <f t="shared" si="38"/>
        <v>2408.1750000000002</v>
      </c>
    </row>
    <row r="481" spans="1:16" x14ac:dyDescent="0.25">
      <c r="A481" t="s">
        <v>517</v>
      </c>
      <c r="B481" s="1">
        <v>45822</v>
      </c>
      <c r="C481" t="s">
        <v>17</v>
      </c>
      <c r="D481" t="s">
        <v>26</v>
      </c>
      <c r="E481" t="s">
        <v>41</v>
      </c>
      <c r="F481" t="s">
        <v>32</v>
      </c>
      <c r="G481" t="s">
        <v>15</v>
      </c>
      <c r="H481">
        <v>145.08000000000001</v>
      </c>
      <c r="I481">
        <v>20</v>
      </c>
      <c r="J481">
        <v>2901.6</v>
      </c>
      <c r="K481" t="str">
        <f t="shared" si="35"/>
        <v>Jun</v>
      </c>
      <c r="L481" t="str">
        <f t="shared" si="36"/>
        <v>High</v>
      </c>
      <c r="M481" t="str">
        <f t="shared" si="37"/>
        <v>Good</v>
      </c>
      <c r="N481">
        <f t="shared" si="39"/>
        <v>225.84999999999991</v>
      </c>
      <c r="O481" s="6">
        <v>0.1</v>
      </c>
      <c r="P481">
        <f t="shared" si="38"/>
        <v>2611.44</v>
      </c>
    </row>
    <row r="482" spans="1:16" x14ac:dyDescent="0.25">
      <c r="A482" t="s">
        <v>518</v>
      </c>
      <c r="B482" s="1">
        <v>45861</v>
      </c>
      <c r="C482" t="s">
        <v>34</v>
      </c>
      <c r="D482" t="s">
        <v>12</v>
      </c>
      <c r="E482" t="s">
        <v>27</v>
      </c>
      <c r="F482" t="s">
        <v>28</v>
      </c>
      <c r="G482" t="s">
        <v>36</v>
      </c>
      <c r="H482">
        <v>168.47</v>
      </c>
      <c r="I482">
        <v>11</v>
      </c>
      <c r="J482">
        <v>1853.17</v>
      </c>
      <c r="K482" t="str">
        <f t="shared" si="35"/>
        <v>Jul</v>
      </c>
      <c r="L482" t="str">
        <f t="shared" si="36"/>
        <v>Low</v>
      </c>
      <c r="M482" t="str">
        <f t="shared" si="37"/>
        <v>Good</v>
      </c>
      <c r="N482">
        <f t="shared" si="39"/>
        <v>-1048.4299999999998</v>
      </c>
      <c r="O482" s="6">
        <v>0.1</v>
      </c>
      <c r="P482">
        <f t="shared" si="38"/>
        <v>1667.8530000000001</v>
      </c>
    </row>
    <row r="483" spans="1:16" x14ac:dyDescent="0.25">
      <c r="A483" t="s">
        <v>519</v>
      </c>
      <c r="B483" s="1">
        <v>45952</v>
      </c>
      <c r="C483" t="s">
        <v>34</v>
      </c>
      <c r="D483" t="s">
        <v>31</v>
      </c>
      <c r="E483" t="s">
        <v>13</v>
      </c>
      <c r="F483" t="s">
        <v>39</v>
      </c>
      <c r="G483" t="s">
        <v>36</v>
      </c>
      <c r="H483">
        <v>183.06</v>
      </c>
      <c r="I483">
        <v>8</v>
      </c>
      <c r="J483">
        <v>1464.48</v>
      </c>
      <c r="K483" t="str">
        <f t="shared" si="35"/>
        <v>Oct</v>
      </c>
      <c r="L483" t="str">
        <f t="shared" si="36"/>
        <v>Low</v>
      </c>
      <c r="M483" t="str">
        <f t="shared" si="37"/>
        <v>Average</v>
      </c>
      <c r="N483">
        <f t="shared" si="39"/>
        <v>-388.69000000000005</v>
      </c>
      <c r="O483" s="6">
        <v>0.1</v>
      </c>
      <c r="P483">
        <f t="shared" si="38"/>
        <v>1318.0320000000002</v>
      </c>
    </row>
    <row r="484" spans="1:16" x14ac:dyDescent="0.25">
      <c r="A484" t="s">
        <v>520</v>
      </c>
      <c r="B484" s="1">
        <v>45844</v>
      </c>
      <c r="C484" t="s">
        <v>25</v>
      </c>
      <c r="D484" t="s">
        <v>26</v>
      </c>
      <c r="E484" t="s">
        <v>18</v>
      </c>
      <c r="F484" t="s">
        <v>42</v>
      </c>
      <c r="G484" t="s">
        <v>15</v>
      </c>
      <c r="H484">
        <v>130</v>
      </c>
      <c r="I484">
        <v>4</v>
      </c>
      <c r="J484">
        <v>520</v>
      </c>
      <c r="K484" t="str">
        <f t="shared" si="35"/>
        <v>Jul</v>
      </c>
      <c r="L484" t="str">
        <f t="shared" si="36"/>
        <v>Low</v>
      </c>
      <c r="M484" t="str">
        <f t="shared" si="37"/>
        <v>Average</v>
      </c>
      <c r="N484">
        <f t="shared" si="39"/>
        <v>-944.48</v>
      </c>
      <c r="O484" s="6">
        <v>0.1</v>
      </c>
      <c r="P484">
        <f t="shared" si="38"/>
        <v>468</v>
      </c>
    </row>
    <row r="485" spans="1:16" x14ac:dyDescent="0.25">
      <c r="A485" t="s">
        <v>521</v>
      </c>
      <c r="B485" s="1">
        <v>46007</v>
      </c>
      <c r="C485" t="s">
        <v>11</v>
      </c>
      <c r="D485" t="s">
        <v>12</v>
      </c>
      <c r="E485" t="s">
        <v>41</v>
      </c>
      <c r="F485" t="s">
        <v>28</v>
      </c>
      <c r="G485" t="s">
        <v>15</v>
      </c>
      <c r="H485">
        <v>168.06</v>
      </c>
      <c r="I485">
        <v>18</v>
      </c>
      <c r="J485">
        <v>3025.08</v>
      </c>
      <c r="K485" t="str">
        <f t="shared" si="35"/>
        <v>Dec</v>
      </c>
      <c r="L485" t="str">
        <f t="shared" si="36"/>
        <v>High</v>
      </c>
      <c r="M485" t="str">
        <f t="shared" si="37"/>
        <v>Excellent</v>
      </c>
      <c r="N485">
        <f t="shared" si="39"/>
        <v>2505.08</v>
      </c>
      <c r="O485" s="6">
        <v>0.1</v>
      </c>
      <c r="P485">
        <f t="shared" si="38"/>
        <v>2722.5720000000001</v>
      </c>
    </row>
    <row r="486" spans="1:16" x14ac:dyDescent="0.25">
      <c r="A486" t="s">
        <v>522</v>
      </c>
      <c r="B486" s="1">
        <v>45882</v>
      </c>
      <c r="C486" t="s">
        <v>17</v>
      </c>
      <c r="D486" t="s">
        <v>22</v>
      </c>
      <c r="E486" t="s">
        <v>41</v>
      </c>
      <c r="F486" t="s">
        <v>28</v>
      </c>
      <c r="G486" t="s">
        <v>36</v>
      </c>
      <c r="H486">
        <v>158.55000000000001</v>
      </c>
      <c r="I486">
        <v>10</v>
      </c>
      <c r="J486">
        <v>1585.5</v>
      </c>
      <c r="K486" t="str">
        <f t="shared" si="35"/>
        <v>Aug</v>
      </c>
      <c r="L486" t="str">
        <f t="shared" si="36"/>
        <v>Low</v>
      </c>
      <c r="M486" t="str">
        <f t="shared" si="37"/>
        <v>Good</v>
      </c>
      <c r="N486">
        <f t="shared" si="39"/>
        <v>-1439.58</v>
      </c>
      <c r="O486" s="6">
        <v>0.1</v>
      </c>
      <c r="P486">
        <f t="shared" si="38"/>
        <v>1426.95</v>
      </c>
    </row>
    <row r="487" spans="1:16" x14ac:dyDescent="0.25">
      <c r="A487" t="s">
        <v>523</v>
      </c>
      <c r="B487" s="1">
        <v>45729</v>
      </c>
      <c r="C487" t="s">
        <v>30</v>
      </c>
      <c r="D487" t="s">
        <v>35</v>
      </c>
      <c r="E487" t="s">
        <v>27</v>
      </c>
      <c r="F487" t="s">
        <v>14</v>
      </c>
      <c r="G487" t="s">
        <v>20</v>
      </c>
      <c r="H487">
        <v>228.25</v>
      </c>
      <c r="I487">
        <v>10</v>
      </c>
      <c r="J487">
        <v>2282.5</v>
      </c>
      <c r="K487" t="str">
        <f t="shared" si="35"/>
        <v>Mar</v>
      </c>
      <c r="L487" t="str">
        <f t="shared" si="36"/>
        <v>High</v>
      </c>
      <c r="M487" t="str">
        <f t="shared" si="37"/>
        <v>Good</v>
      </c>
      <c r="N487">
        <f t="shared" si="39"/>
        <v>697</v>
      </c>
      <c r="O487" s="6">
        <v>0.1</v>
      </c>
      <c r="P487">
        <f t="shared" si="38"/>
        <v>2054.25</v>
      </c>
    </row>
    <row r="488" spans="1:16" x14ac:dyDescent="0.25">
      <c r="A488" t="s">
        <v>524</v>
      </c>
      <c r="B488" s="1">
        <v>45874</v>
      </c>
      <c r="C488" t="s">
        <v>11</v>
      </c>
      <c r="D488" t="s">
        <v>31</v>
      </c>
      <c r="E488" t="s">
        <v>18</v>
      </c>
      <c r="F488" t="s">
        <v>61</v>
      </c>
      <c r="G488" t="s">
        <v>20</v>
      </c>
      <c r="H488">
        <v>40</v>
      </c>
      <c r="I488">
        <v>13</v>
      </c>
      <c r="J488">
        <v>520</v>
      </c>
      <c r="K488" t="str">
        <f t="shared" si="35"/>
        <v>Aug</v>
      </c>
      <c r="L488" t="str">
        <f t="shared" si="36"/>
        <v>Low</v>
      </c>
      <c r="M488" t="str">
        <f t="shared" si="37"/>
        <v>Average</v>
      </c>
      <c r="N488">
        <f t="shared" si="39"/>
        <v>-1762.5</v>
      </c>
      <c r="O488" s="6">
        <v>0.1</v>
      </c>
      <c r="P488">
        <f t="shared" si="38"/>
        <v>468</v>
      </c>
    </row>
    <row r="489" spans="1:16" x14ac:dyDescent="0.25">
      <c r="A489" t="s">
        <v>525</v>
      </c>
      <c r="B489" s="1">
        <v>45863</v>
      </c>
      <c r="C489" t="s">
        <v>25</v>
      </c>
      <c r="D489" t="s">
        <v>12</v>
      </c>
      <c r="E489" t="s">
        <v>41</v>
      </c>
      <c r="F489" t="s">
        <v>42</v>
      </c>
      <c r="G489" t="s">
        <v>15</v>
      </c>
      <c r="H489">
        <v>91.81</v>
      </c>
      <c r="I489">
        <v>18</v>
      </c>
      <c r="J489">
        <v>1652.58</v>
      </c>
      <c r="K489" t="str">
        <f t="shared" si="35"/>
        <v>Jul</v>
      </c>
      <c r="L489" t="str">
        <f t="shared" si="36"/>
        <v>Low</v>
      </c>
      <c r="M489" t="str">
        <f t="shared" si="37"/>
        <v>Good</v>
      </c>
      <c r="N489">
        <f t="shared" si="39"/>
        <v>1132.58</v>
      </c>
      <c r="O489" s="6">
        <v>0.1</v>
      </c>
      <c r="P489">
        <f t="shared" si="38"/>
        <v>1487.3219999999999</v>
      </c>
    </row>
    <row r="490" spans="1:16" x14ac:dyDescent="0.25">
      <c r="A490" t="s">
        <v>526</v>
      </c>
      <c r="B490" s="1">
        <v>45842</v>
      </c>
      <c r="C490" t="s">
        <v>25</v>
      </c>
      <c r="D490" t="s">
        <v>12</v>
      </c>
      <c r="E490" t="s">
        <v>45</v>
      </c>
      <c r="F490" t="s">
        <v>19</v>
      </c>
      <c r="G490" t="s">
        <v>15</v>
      </c>
      <c r="H490">
        <v>239.09</v>
      </c>
      <c r="I490">
        <v>18</v>
      </c>
      <c r="J490">
        <v>4303.62</v>
      </c>
      <c r="K490" t="str">
        <f t="shared" si="35"/>
        <v>Jul</v>
      </c>
      <c r="L490" t="str">
        <f t="shared" si="36"/>
        <v>High</v>
      </c>
      <c r="M490" t="str">
        <f t="shared" si="37"/>
        <v>Excellent</v>
      </c>
      <c r="N490">
        <f t="shared" si="39"/>
        <v>2651.04</v>
      </c>
      <c r="O490" s="6">
        <v>0.1</v>
      </c>
      <c r="P490">
        <f t="shared" si="38"/>
        <v>3873.2579999999998</v>
      </c>
    </row>
    <row r="491" spans="1:16" x14ac:dyDescent="0.25">
      <c r="A491" t="s">
        <v>527</v>
      </c>
      <c r="B491" s="1">
        <v>45994</v>
      </c>
      <c r="C491" t="s">
        <v>30</v>
      </c>
      <c r="D491" t="s">
        <v>12</v>
      </c>
      <c r="E491" t="s">
        <v>18</v>
      </c>
      <c r="F491" t="s">
        <v>19</v>
      </c>
      <c r="G491" t="s">
        <v>20</v>
      </c>
      <c r="H491">
        <v>225.86</v>
      </c>
      <c r="I491">
        <v>12</v>
      </c>
      <c r="J491">
        <v>2710.32</v>
      </c>
      <c r="K491" t="str">
        <f t="shared" si="35"/>
        <v>Dec</v>
      </c>
      <c r="L491" t="str">
        <f t="shared" si="36"/>
        <v>High</v>
      </c>
      <c r="M491" t="str">
        <f t="shared" si="37"/>
        <v>Good</v>
      </c>
      <c r="N491">
        <f t="shared" si="39"/>
        <v>-1593.2999999999997</v>
      </c>
      <c r="O491" s="6">
        <v>0.1</v>
      </c>
      <c r="P491">
        <f t="shared" si="38"/>
        <v>2439.288</v>
      </c>
    </row>
    <row r="492" spans="1:16" x14ac:dyDescent="0.25">
      <c r="A492" t="s">
        <v>528</v>
      </c>
      <c r="B492" s="1">
        <v>45988</v>
      </c>
      <c r="C492" t="s">
        <v>34</v>
      </c>
      <c r="D492" t="s">
        <v>31</v>
      </c>
      <c r="E492" t="s">
        <v>45</v>
      </c>
      <c r="F492" t="s">
        <v>19</v>
      </c>
      <c r="G492" t="s">
        <v>15</v>
      </c>
      <c r="H492">
        <v>130.24</v>
      </c>
      <c r="I492">
        <v>13</v>
      </c>
      <c r="J492">
        <v>1693.12</v>
      </c>
      <c r="K492" t="str">
        <f t="shared" si="35"/>
        <v>Nov</v>
      </c>
      <c r="L492" t="str">
        <f t="shared" si="36"/>
        <v>Low</v>
      </c>
      <c r="M492" t="str">
        <f t="shared" si="37"/>
        <v>Good</v>
      </c>
      <c r="N492">
        <f t="shared" si="39"/>
        <v>-1017.2000000000003</v>
      </c>
      <c r="O492" s="6">
        <v>0.1</v>
      </c>
      <c r="P492">
        <f t="shared" si="38"/>
        <v>1523.808</v>
      </c>
    </row>
    <row r="493" spans="1:16" x14ac:dyDescent="0.25">
      <c r="A493" t="s">
        <v>529</v>
      </c>
      <c r="B493" s="1">
        <v>45790</v>
      </c>
      <c r="C493" t="s">
        <v>25</v>
      </c>
      <c r="D493" t="s">
        <v>12</v>
      </c>
      <c r="E493" t="s">
        <v>18</v>
      </c>
      <c r="F493" t="s">
        <v>42</v>
      </c>
      <c r="G493" t="s">
        <v>20</v>
      </c>
      <c r="H493">
        <v>166.43</v>
      </c>
      <c r="I493">
        <v>8</v>
      </c>
      <c r="J493">
        <v>1331.44</v>
      </c>
      <c r="K493" t="str">
        <f t="shared" si="35"/>
        <v>May</v>
      </c>
      <c r="L493" t="str">
        <f t="shared" si="36"/>
        <v>Low</v>
      </c>
      <c r="M493" t="str">
        <f t="shared" si="37"/>
        <v>Average</v>
      </c>
      <c r="N493">
        <f t="shared" si="39"/>
        <v>-361.67999999999984</v>
      </c>
      <c r="O493" s="6">
        <v>0.1</v>
      </c>
      <c r="P493">
        <f t="shared" si="38"/>
        <v>1198.296</v>
      </c>
    </row>
    <row r="494" spans="1:16" x14ac:dyDescent="0.25">
      <c r="A494" t="s">
        <v>530</v>
      </c>
      <c r="B494" s="1">
        <v>46010</v>
      </c>
      <c r="C494" t="s">
        <v>30</v>
      </c>
      <c r="D494" t="s">
        <v>31</v>
      </c>
      <c r="E494" t="s">
        <v>13</v>
      </c>
      <c r="F494" t="s">
        <v>61</v>
      </c>
      <c r="G494" t="s">
        <v>36</v>
      </c>
      <c r="H494">
        <v>91.02</v>
      </c>
      <c r="I494">
        <v>19</v>
      </c>
      <c r="J494">
        <v>1729.38</v>
      </c>
      <c r="K494" t="str">
        <f t="shared" si="35"/>
        <v>Dec</v>
      </c>
      <c r="L494" t="str">
        <f t="shared" si="36"/>
        <v>Low</v>
      </c>
      <c r="M494" t="str">
        <f t="shared" si="37"/>
        <v>Good</v>
      </c>
      <c r="N494">
        <f t="shared" si="39"/>
        <v>397.94000000000005</v>
      </c>
      <c r="O494" s="6">
        <v>0.1</v>
      </c>
      <c r="P494">
        <f t="shared" si="38"/>
        <v>1556.4420000000002</v>
      </c>
    </row>
    <row r="495" spans="1:16" x14ac:dyDescent="0.25">
      <c r="A495" t="s">
        <v>531</v>
      </c>
      <c r="B495" s="1">
        <v>46005</v>
      </c>
      <c r="C495" t="s">
        <v>17</v>
      </c>
      <c r="D495" t="s">
        <v>55</v>
      </c>
      <c r="E495" t="s">
        <v>23</v>
      </c>
      <c r="F495" t="s">
        <v>32</v>
      </c>
      <c r="G495" t="s">
        <v>15</v>
      </c>
      <c r="H495">
        <v>71.39</v>
      </c>
      <c r="I495">
        <v>19</v>
      </c>
      <c r="J495">
        <v>1356.41</v>
      </c>
      <c r="K495" t="str">
        <f t="shared" si="35"/>
        <v>Dec</v>
      </c>
      <c r="L495" t="str">
        <f t="shared" si="36"/>
        <v>Low</v>
      </c>
      <c r="M495" t="str">
        <f t="shared" si="37"/>
        <v>Average</v>
      </c>
      <c r="N495">
        <f t="shared" si="39"/>
        <v>-372.97</v>
      </c>
      <c r="O495" s="6">
        <v>0.1</v>
      </c>
      <c r="P495">
        <f t="shared" si="38"/>
        <v>1220.769</v>
      </c>
    </row>
    <row r="496" spans="1:16" x14ac:dyDescent="0.25">
      <c r="A496" t="s">
        <v>532</v>
      </c>
      <c r="B496" s="1">
        <v>45905</v>
      </c>
      <c r="C496" t="s">
        <v>34</v>
      </c>
      <c r="D496" t="s">
        <v>31</v>
      </c>
      <c r="E496" t="s">
        <v>45</v>
      </c>
      <c r="F496" t="s">
        <v>19</v>
      </c>
      <c r="G496" t="s">
        <v>20</v>
      </c>
      <c r="H496">
        <v>132.01</v>
      </c>
      <c r="I496">
        <v>4</v>
      </c>
      <c r="J496">
        <v>528.04</v>
      </c>
      <c r="K496" t="str">
        <f t="shared" si="35"/>
        <v>Sep</v>
      </c>
      <c r="L496" t="str">
        <f t="shared" si="36"/>
        <v>Low</v>
      </c>
      <c r="M496" t="str">
        <f t="shared" si="37"/>
        <v>Average</v>
      </c>
      <c r="N496">
        <f t="shared" si="39"/>
        <v>-828.37000000000012</v>
      </c>
      <c r="O496" s="6">
        <v>0.1</v>
      </c>
      <c r="P496">
        <f t="shared" si="38"/>
        <v>475.23599999999999</v>
      </c>
    </row>
    <row r="497" spans="1:16" x14ac:dyDescent="0.25">
      <c r="A497" t="s">
        <v>533</v>
      </c>
      <c r="B497" s="1">
        <v>45730</v>
      </c>
      <c r="C497" t="s">
        <v>34</v>
      </c>
      <c r="D497" t="s">
        <v>35</v>
      </c>
      <c r="E497" t="s">
        <v>41</v>
      </c>
      <c r="F497" t="s">
        <v>39</v>
      </c>
      <c r="G497" t="s">
        <v>15</v>
      </c>
      <c r="H497">
        <v>107.74</v>
      </c>
      <c r="I497">
        <v>12</v>
      </c>
      <c r="J497">
        <v>1292.8800000000001</v>
      </c>
      <c r="K497" t="str">
        <f t="shared" si="35"/>
        <v>Mar</v>
      </c>
      <c r="L497" t="str">
        <f t="shared" si="36"/>
        <v>Low</v>
      </c>
      <c r="M497" t="str">
        <f t="shared" si="37"/>
        <v>Average</v>
      </c>
      <c r="N497">
        <f t="shared" si="39"/>
        <v>764.84000000000015</v>
      </c>
      <c r="O497" s="6">
        <v>0.1</v>
      </c>
      <c r="P497">
        <f t="shared" si="38"/>
        <v>1163.5920000000001</v>
      </c>
    </row>
    <row r="498" spans="1:16" x14ac:dyDescent="0.25">
      <c r="A498" t="s">
        <v>534</v>
      </c>
      <c r="B498" s="1">
        <v>45924</v>
      </c>
      <c r="C498" t="s">
        <v>34</v>
      </c>
      <c r="D498" t="s">
        <v>31</v>
      </c>
      <c r="E498" t="s">
        <v>45</v>
      </c>
      <c r="F498" t="s">
        <v>61</v>
      </c>
      <c r="G498" t="s">
        <v>20</v>
      </c>
      <c r="H498">
        <v>158.4</v>
      </c>
      <c r="I498">
        <v>16</v>
      </c>
      <c r="J498">
        <v>2534.4</v>
      </c>
      <c r="K498" t="str">
        <f t="shared" si="35"/>
        <v>Sep</v>
      </c>
      <c r="L498" t="str">
        <f t="shared" si="36"/>
        <v>High</v>
      </c>
      <c r="M498" t="str">
        <f t="shared" si="37"/>
        <v>Good</v>
      </c>
      <c r="N498">
        <f t="shared" si="39"/>
        <v>1241.52</v>
      </c>
      <c r="O498" s="6">
        <v>0.1</v>
      </c>
      <c r="P498">
        <f t="shared" si="38"/>
        <v>2280.96</v>
      </c>
    </row>
    <row r="499" spans="1:16" x14ac:dyDescent="0.25">
      <c r="A499" t="s">
        <v>535</v>
      </c>
      <c r="B499" s="1">
        <v>46014</v>
      </c>
      <c r="C499" t="s">
        <v>34</v>
      </c>
      <c r="D499" t="s">
        <v>22</v>
      </c>
      <c r="E499" t="s">
        <v>13</v>
      </c>
      <c r="F499" t="s">
        <v>19</v>
      </c>
      <c r="G499" t="s">
        <v>20</v>
      </c>
      <c r="H499">
        <v>47.1</v>
      </c>
      <c r="I499">
        <v>15</v>
      </c>
      <c r="J499">
        <v>706.5</v>
      </c>
      <c r="K499" t="str">
        <f t="shared" si="35"/>
        <v>Dec</v>
      </c>
      <c r="L499" t="str">
        <f t="shared" si="36"/>
        <v>Low</v>
      </c>
      <c r="M499" t="str">
        <f t="shared" si="37"/>
        <v>Average</v>
      </c>
      <c r="N499">
        <f t="shared" si="39"/>
        <v>-1827.9</v>
      </c>
      <c r="O499" s="6">
        <v>0.1</v>
      </c>
      <c r="P499">
        <f t="shared" si="38"/>
        <v>635.85</v>
      </c>
    </row>
    <row r="500" spans="1:16" x14ac:dyDescent="0.25">
      <c r="A500" t="s">
        <v>536</v>
      </c>
      <c r="B500" s="1">
        <v>45716</v>
      </c>
      <c r="C500" t="s">
        <v>34</v>
      </c>
      <c r="D500" t="s">
        <v>12</v>
      </c>
      <c r="E500" t="s">
        <v>45</v>
      </c>
      <c r="F500" t="s">
        <v>28</v>
      </c>
      <c r="G500" t="s">
        <v>15</v>
      </c>
      <c r="H500">
        <v>244.37</v>
      </c>
      <c r="I500">
        <v>1</v>
      </c>
      <c r="J500">
        <v>244.37</v>
      </c>
      <c r="K500" t="str">
        <f t="shared" si="35"/>
        <v>Feb</v>
      </c>
      <c r="L500" t="str">
        <f t="shared" si="36"/>
        <v>Low</v>
      </c>
      <c r="M500" t="str">
        <f t="shared" si="37"/>
        <v>Low</v>
      </c>
      <c r="N500">
        <f t="shared" si="39"/>
        <v>-462.13</v>
      </c>
      <c r="O500" s="6">
        <v>0.1</v>
      </c>
      <c r="P500">
        <f t="shared" si="38"/>
        <v>219.93300000000002</v>
      </c>
    </row>
    <row r="501" spans="1:16" x14ac:dyDescent="0.25">
      <c r="A501" t="s">
        <v>537</v>
      </c>
      <c r="B501" s="1">
        <v>45782</v>
      </c>
      <c r="C501" t="s">
        <v>30</v>
      </c>
      <c r="D501" t="s">
        <v>55</v>
      </c>
      <c r="E501" t="s">
        <v>23</v>
      </c>
      <c r="F501" t="s">
        <v>32</v>
      </c>
      <c r="G501" t="s">
        <v>20</v>
      </c>
      <c r="H501">
        <v>246.97</v>
      </c>
      <c r="I501">
        <v>17</v>
      </c>
      <c r="J501">
        <v>4198.49</v>
      </c>
      <c r="K501" t="str">
        <f t="shared" si="35"/>
        <v>May</v>
      </c>
      <c r="L501" t="str">
        <f t="shared" si="36"/>
        <v>High</v>
      </c>
      <c r="M501" t="str">
        <f t="shared" si="37"/>
        <v>Excellent</v>
      </c>
      <c r="N501">
        <f t="shared" si="39"/>
        <v>3954.12</v>
      </c>
      <c r="O501" s="6">
        <v>0.1</v>
      </c>
      <c r="P501">
        <f t="shared" si="38"/>
        <v>3778.6410000000001</v>
      </c>
    </row>
    <row r="502" spans="1:16" x14ac:dyDescent="0.25">
      <c r="A502" t="s">
        <v>538</v>
      </c>
      <c r="B502" s="1">
        <v>45876</v>
      </c>
      <c r="C502" t="s">
        <v>30</v>
      </c>
      <c r="D502" t="s">
        <v>31</v>
      </c>
      <c r="E502" t="s">
        <v>27</v>
      </c>
      <c r="F502" t="s">
        <v>14</v>
      </c>
      <c r="G502" t="s">
        <v>15</v>
      </c>
      <c r="H502">
        <v>183.6</v>
      </c>
      <c r="I502">
        <v>15</v>
      </c>
      <c r="J502">
        <v>2754</v>
      </c>
      <c r="K502" t="str">
        <f t="shared" si="35"/>
        <v>Aug</v>
      </c>
      <c r="L502" t="str">
        <f t="shared" si="36"/>
        <v>High</v>
      </c>
      <c r="M502" t="str">
        <f t="shared" si="37"/>
        <v>Good</v>
      </c>
      <c r="N502">
        <f t="shared" si="39"/>
        <v>-1444.4899999999998</v>
      </c>
      <c r="O502" s="6">
        <v>0.1</v>
      </c>
      <c r="P502">
        <f t="shared" si="38"/>
        <v>2478.6</v>
      </c>
    </row>
    <row r="503" spans="1:16" x14ac:dyDescent="0.25">
      <c r="A503" t="s">
        <v>539</v>
      </c>
      <c r="B503" s="1">
        <v>45985</v>
      </c>
      <c r="C503" t="s">
        <v>38</v>
      </c>
      <c r="D503" t="s">
        <v>22</v>
      </c>
      <c r="E503" t="s">
        <v>27</v>
      </c>
      <c r="F503" t="s">
        <v>42</v>
      </c>
      <c r="G503" t="s">
        <v>15</v>
      </c>
      <c r="H503">
        <v>147.94</v>
      </c>
      <c r="I503">
        <v>14</v>
      </c>
      <c r="J503">
        <v>2071.16</v>
      </c>
      <c r="K503" t="str">
        <f t="shared" si="35"/>
        <v>Nov</v>
      </c>
      <c r="L503" t="str">
        <f t="shared" si="36"/>
        <v>High</v>
      </c>
      <c r="M503" t="str">
        <f t="shared" si="37"/>
        <v>Good</v>
      </c>
      <c r="N503">
        <f t="shared" si="39"/>
        <v>-682.84000000000015</v>
      </c>
      <c r="O503" s="6">
        <v>0.1</v>
      </c>
      <c r="P503">
        <f t="shared" si="38"/>
        <v>1864.0439999999999</v>
      </c>
    </row>
    <row r="504" spans="1:16" x14ac:dyDescent="0.25">
      <c r="A504" t="s">
        <v>540</v>
      </c>
      <c r="B504" s="1">
        <v>45888</v>
      </c>
      <c r="C504" t="s">
        <v>38</v>
      </c>
      <c r="D504" t="s">
        <v>31</v>
      </c>
      <c r="E504" t="s">
        <v>45</v>
      </c>
      <c r="F504" t="s">
        <v>28</v>
      </c>
      <c r="G504" t="s">
        <v>15</v>
      </c>
      <c r="H504">
        <v>98.1</v>
      </c>
      <c r="I504">
        <v>19</v>
      </c>
      <c r="J504">
        <v>1863.9</v>
      </c>
      <c r="K504" t="str">
        <f t="shared" si="35"/>
        <v>Aug</v>
      </c>
      <c r="L504" t="str">
        <f t="shared" si="36"/>
        <v>Low</v>
      </c>
      <c r="M504" t="str">
        <f t="shared" si="37"/>
        <v>Good</v>
      </c>
      <c r="N504">
        <f t="shared" si="39"/>
        <v>-207.25999999999976</v>
      </c>
      <c r="O504" s="6">
        <v>0.1</v>
      </c>
      <c r="P504">
        <f t="shared" si="38"/>
        <v>1677.5100000000002</v>
      </c>
    </row>
    <row r="505" spans="1:16" x14ac:dyDescent="0.25">
      <c r="A505" t="s">
        <v>541</v>
      </c>
      <c r="B505" s="1">
        <v>45763</v>
      </c>
      <c r="C505" t="s">
        <v>17</v>
      </c>
      <c r="D505" t="s">
        <v>22</v>
      </c>
      <c r="E505" t="s">
        <v>18</v>
      </c>
      <c r="F505" t="s">
        <v>19</v>
      </c>
      <c r="G505" t="s">
        <v>20</v>
      </c>
      <c r="H505">
        <v>209.03</v>
      </c>
      <c r="I505">
        <v>9</v>
      </c>
      <c r="J505">
        <v>1881.27</v>
      </c>
      <c r="K505" t="str">
        <f t="shared" si="35"/>
        <v>Apr</v>
      </c>
      <c r="L505" t="str">
        <f t="shared" si="36"/>
        <v>Low</v>
      </c>
      <c r="M505" t="str">
        <f t="shared" si="37"/>
        <v>Good</v>
      </c>
      <c r="N505">
        <f t="shared" si="39"/>
        <v>17.369999999999891</v>
      </c>
      <c r="O505" s="6">
        <v>0.1</v>
      </c>
      <c r="P505">
        <f t="shared" si="38"/>
        <v>1693.143</v>
      </c>
    </row>
    <row r="506" spans="1:16" x14ac:dyDescent="0.25">
      <c r="A506" t="s">
        <v>542</v>
      </c>
      <c r="B506" s="1">
        <v>45753</v>
      </c>
      <c r="C506" t="s">
        <v>34</v>
      </c>
      <c r="D506" t="s">
        <v>26</v>
      </c>
      <c r="E506" t="s">
        <v>41</v>
      </c>
      <c r="F506" t="s">
        <v>19</v>
      </c>
      <c r="G506" t="s">
        <v>36</v>
      </c>
      <c r="H506">
        <v>180.64</v>
      </c>
      <c r="I506">
        <v>12</v>
      </c>
      <c r="J506">
        <v>2167.6799999999998</v>
      </c>
      <c r="K506" t="str">
        <f t="shared" si="35"/>
        <v>Apr</v>
      </c>
      <c r="L506" t="str">
        <f t="shared" si="36"/>
        <v>High</v>
      </c>
      <c r="M506" t="str">
        <f t="shared" si="37"/>
        <v>Good</v>
      </c>
      <c r="N506">
        <f t="shared" si="39"/>
        <v>286.40999999999985</v>
      </c>
      <c r="O506" s="6">
        <v>0.1</v>
      </c>
      <c r="P506">
        <f t="shared" si="38"/>
        <v>1950.9119999999998</v>
      </c>
    </row>
    <row r="507" spans="1:16" x14ac:dyDescent="0.25">
      <c r="A507" t="s">
        <v>543</v>
      </c>
      <c r="B507" s="1">
        <v>46001</v>
      </c>
      <c r="C507" t="s">
        <v>25</v>
      </c>
      <c r="D507" t="s">
        <v>12</v>
      </c>
      <c r="E507" t="s">
        <v>13</v>
      </c>
      <c r="F507" t="s">
        <v>42</v>
      </c>
      <c r="G507" t="s">
        <v>36</v>
      </c>
      <c r="H507">
        <v>65.78</v>
      </c>
      <c r="I507">
        <v>16</v>
      </c>
      <c r="J507">
        <v>1052.48</v>
      </c>
      <c r="K507" t="str">
        <f t="shared" si="35"/>
        <v>Dec</v>
      </c>
      <c r="L507" t="str">
        <f t="shared" si="36"/>
        <v>Low</v>
      </c>
      <c r="M507" t="str">
        <f t="shared" si="37"/>
        <v>Average</v>
      </c>
      <c r="N507">
        <f t="shared" si="39"/>
        <v>-1115.1999999999998</v>
      </c>
      <c r="O507" s="6">
        <v>0.1</v>
      </c>
      <c r="P507">
        <f t="shared" si="38"/>
        <v>947.23200000000008</v>
      </c>
    </row>
    <row r="508" spans="1:16" x14ac:dyDescent="0.25">
      <c r="A508" t="s">
        <v>544</v>
      </c>
      <c r="B508" s="1">
        <v>45970</v>
      </c>
      <c r="C508" t="s">
        <v>25</v>
      </c>
      <c r="D508" t="s">
        <v>22</v>
      </c>
      <c r="E508" t="s">
        <v>13</v>
      </c>
      <c r="F508" t="s">
        <v>32</v>
      </c>
      <c r="G508" t="s">
        <v>36</v>
      </c>
      <c r="H508">
        <v>230.4</v>
      </c>
      <c r="I508">
        <v>13</v>
      </c>
      <c r="J508">
        <v>2995.2</v>
      </c>
      <c r="K508" t="str">
        <f t="shared" si="35"/>
        <v>Nov</v>
      </c>
      <c r="L508" t="str">
        <f t="shared" si="36"/>
        <v>High</v>
      </c>
      <c r="M508" t="str">
        <f t="shared" si="37"/>
        <v>Good</v>
      </c>
      <c r="N508">
        <f t="shared" si="39"/>
        <v>1942.7199999999998</v>
      </c>
      <c r="O508" s="6">
        <v>0.1</v>
      </c>
      <c r="P508">
        <f t="shared" si="38"/>
        <v>2695.68</v>
      </c>
    </row>
    <row r="509" spans="1:16" x14ac:dyDescent="0.25">
      <c r="A509" t="s">
        <v>545</v>
      </c>
      <c r="B509" s="1">
        <v>45974</v>
      </c>
      <c r="C509" t="s">
        <v>17</v>
      </c>
      <c r="D509" t="s">
        <v>12</v>
      </c>
      <c r="E509" t="s">
        <v>13</v>
      </c>
      <c r="F509" t="s">
        <v>42</v>
      </c>
      <c r="G509" t="s">
        <v>20</v>
      </c>
      <c r="H509">
        <v>210.96</v>
      </c>
      <c r="I509">
        <v>6</v>
      </c>
      <c r="J509">
        <v>1265.76</v>
      </c>
      <c r="K509" t="str">
        <f t="shared" si="35"/>
        <v>Nov</v>
      </c>
      <c r="L509" t="str">
        <f t="shared" si="36"/>
        <v>Low</v>
      </c>
      <c r="M509" t="str">
        <f t="shared" si="37"/>
        <v>Average</v>
      </c>
      <c r="N509">
        <f t="shared" si="39"/>
        <v>-1729.4399999999998</v>
      </c>
      <c r="O509" s="6">
        <v>0.1</v>
      </c>
      <c r="P509">
        <f t="shared" si="38"/>
        <v>1139.184</v>
      </c>
    </row>
    <row r="510" spans="1:16" x14ac:dyDescent="0.25">
      <c r="A510" t="s">
        <v>546</v>
      </c>
      <c r="B510" s="1">
        <v>45701</v>
      </c>
      <c r="C510" t="s">
        <v>34</v>
      </c>
      <c r="D510" t="s">
        <v>22</v>
      </c>
      <c r="E510" t="s">
        <v>23</v>
      </c>
      <c r="F510" t="s">
        <v>32</v>
      </c>
      <c r="G510" t="s">
        <v>15</v>
      </c>
      <c r="H510">
        <v>238.96</v>
      </c>
      <c r="I510">
        <v>5</v>
      </c>
      <c r="J510">
        <v>1194.8</v>
      </c>
      <c r="K510" t="str">
        <f t="shared" si="35"/>
        <v>Feb</v>
      </c>
      <c r="L510" t="str">
        <f t="shared" si="36"/>
        <v>Low</v>
      </c>
      <c r="M510" t="str">
        <f t="shared" si="37"/>
        <v>Average</v>
      </c>
      <c r="N510">
        <f t="shared" si="39"/>
        <v>-70.960000000000036</v>
      </c>
      <c r="O510" s="6">
        <v>0.1</v>
      </c>
      <c r="P510">
        <f t="shared" si="38"/>
        <v>1075.32</v>
      </c>
    </row>
    <row r="511" spans="1:16" x14ac:dyDescent="0.25">
      <c r="A511" t="s">
        <v>547</v>
      </c>
      <c r="B511" s="1">
        <v>45751</v>
      </c>
      <c r="C511" t="s">
        <v>17</v>
      </c>
      <c r="D511" t="s">
        <v>26</v>
      </c>
      <c r="E511" t="s">
        <v>18</v>
      </c>
      <c r="F511" t="s">
        <v>61</v>
      </c>
      <c r="G511" t="s">
        <v>36</v>
      </c>
      <c r="H511">
        <v>189.66</v>
      </c>
      <c r="I511">
        <v>12</v>
      </c>
      <c r="J511">
        <v>2275.92</v>
      </c>
      <c r="K511" t="str">
        <f t="shared" si="35"/>
        <v>Apr</v>
      </c>
      <c r="L511" t="str">
        <f t="shared" si="36"/>
        <v>High</v>
      </c>
      <c r="M511" t="str">
        <f t="shared" si="37"/>
        <v>Good</v>
      </c>
      <c r="N511">
        <f t="shared" si="39"/>
        <v>1081.1200000000001</v>
      </c>
      <c r="O511" s="6">
        <v>0.1</v>
      </c>
      <c r="P511">
        <f t="shared" si="38"/>
        <v>2048.328</v>
      </c>
    </row>
    <row r="512" spans="1:16" x14ac:dyDescent="0.25">
      <c r="A512" t="s">
        <v>548</v>
      </c>
      <c r="B512" s="1">
        <v>45963</v>
      </c>
      <c r="C512" t="s">
        <v>25</v>
      </c>
      <c r="D512" t="s">
        <v>31</v>
      </c>
      <c r="E512" t="s">
        <v>41</v>
      </c>
      <c r="F512" t="s">
        <v>14</v>
      </c>
      <c r="G512" t="s">
        <v>36</v>
      </c>
      <c r="H512">
        <v>164.95</v>
      </c>
      <c r="I512">
        <v>5</v>
      </c>
      <c r="J512">
        <v>824.75</v>
      </c>
      <c r="K512" t="str">
        <f t="shared" si="35"/>
        <v>Nov</v>
      </c>
      <c r="L512" t="str">
        <f t="shared" si="36"/>
        <v>Low</v>
      </c>
      <c r="M512" t="str">
        <f t="shared" si="37"/>
        <v>Average</v>
      </c>
      <c r="N512">
        <f t="shared" si="39"/>
        <v>-1451.17</v>
      </c>
      <c r="O512" s="6">
        <v>0.1</v>
      </c>
      <c r="P512">
        <f t="shared" si="38"/>
        <v>742.27499999999998</v>
      </c>
    </row>
    <row r="513" spans="1:16" x14ac:dyDescent="0.25">
      <c r="A513" t="s">
        <v>549</v>
      </c>
      <c r="B513" s="1">
        <v>45983</v>
      </c>
      <c r="C513" t="s">
        <v>17</v>
      </c>
      <c r="D513" t="s">
        <v>12</v>
      </c>
      <c r="E513" t="s">
        <v>23</v>
      </c>
      <c r="F513" t="s">
        <v>42</v>
      </c>
      <c r="G513" t="s">
        <v>15</v>
      </c>
      <c r="H513">
        <v>122.01</v>
      </c>
      <c r="I513">
        <v>18</v>
      </c>
      <c r="J513">
        <v>2196.1799999999998</v>
      </c>
      <c r="K513" t="str">
        <f t="shared" si="35"/>
        <v>Nov</v>
      </c>
      <c r="L513" t="str">
        <f t="shared" si="36"/>
        <v>High</v>
      </c>
      <c r="M513" t="str">
        <f t="shared" si="37"/>
        <v>Good</v>
      </c>
      <c r="N513">
        <f t="shared" si="39"/>
        <v>1371.4299999999998</v>
      </c>
      <c r="O513" s="6">
        <v>0.1</v>
      </c>
      <c r="P513">
        <f t="shared" si="38"/>
        <v>1976.5619999999999</v>
      </c>
    </row>
    <row r="514" spans="1:16" x14ac:dyDescent="0.25">
      <c r="A514" t="s">
        <v>550</v>
      </c>
      <c r="B514" s="1">
        <v>45908</v>
      </c>
      <c r="C514" t="s">
        <v>30</v>
      </c>
      <c r="D514" t="s">
        <v>26</v>
      </c>
      <c r="E514" t="s">
        <v>13</v>
      </c>
      <c r="F514" t="s">
        <v>39</v>
      </c>
      <c r="G514" t="s">
        <v>36</v>
      </c>
      <c r="H514">
        <v>235.2</v>
      </c>
      <c r="I514">
        <v>10</v>
      </c>
      <c r="J514">
        <v>2352</v>
      </c>
      <c r="K514" t="str">
        <f t="shared" ref="K514:K577" si="40">TEXT(B514,"MMM")</f>
        <v>Sep</v>
      </c>
      <c r="L514" t="str">
        <f t="shared" ref="L514:L577" si="41">IF(J514&gt;2000,"High","Low")</f>
        <v>High</v>
      </c>
      <c r="M514" t="str">
        <f t="shared" ref="M514:M577" si="42">IF(J514&gt;3000,"Excellent",
 IF(J514&gt;1500,"Good",
 IF(J514&gt;500,"Average","Low")))</f>
        <v>Good</v>
      </c>
      <c r="N514">
        <f t="shared" si="39"/>
        <v>155.82000000000016</v>
      </c>
      <c r="O514" s="6">
        <v>0.1</v>
      </c>
      <c r="P514">
        <f t="shared" ref="P514:P577" si="43">J514*(1-O514)</f>
        <v>2116.8000000000002</v>
      </c>
    </row>
    <row r="515" spans="1:16" x14ac:dyDescent="0.25">
      <c r="A515" t="s">
        <v>551</v>
      </c>
      <c r="B515" s="1">
        <v>45975</v>
      </c>
      <c r="C515" t="s">
        <v>34</v>
      </c>
      <c r="D515" t="s">
        <v>22</v>
      </c>
      <c r="E515" t="s">
        <v>41</v>
      </c>
      <c r="F515" t="s">
        <v>14</v>
      </c>
      <c r="G515" t="s">
        <v>15</v>
      </c>
      <c r="H515">
        <v>220.53</v>
      </c>
      <c r="I515">
        <v>2</v>
      </c>
      <c r="J515">
        <v>441.06</v>
      </c>
      <c r="K515" t="str">
        <f t="shared" si="40"/>
        <v>Nov</v>
      </c>
      <c r="L515" t="str">
        <f t="shared" si="41"/>
        <v>Low</v>
      </c>
      <c r="M515" t="str">
        <f t="shared" si="42"/>
        <v>Low</v>
      </c>
      <c r="N515">
        <f t="shared" ref="N515:N578" si="44">J515-J514</f>
        <v>-1910.94</v>
      </c>
      <c r="O515" s="6">
        <v>0.1</v>
      </c>
      <c r="P515">
        <f t="shared" si="43"/>
        <v>396.95400000000001</v>
      </c>
    </row>
    <row r="516" spans="1:16" x14ac:dyDescent="0.25">
      <c r="A516" t="s">
        <v>552</v>
      </c>
      <c r="B516" s="1">
        <v>45854</v>
      </c>
      <c r="C516" t="s">
        <v>25</v>
      </c>
      <c r="D516" t="s">
        <v>12</v>
      </c>
      <c r="E516" t="s">
        <v>41</v>
      </c>
      <c r="F516" t="s">
        <v>61</v>
      </c>
      <c r="G516" t="s">
        <v>20</v>
      </c>
      <c r="H516">
        <v>39.950000000000003</v>
      </c>
      <c r="I516">
        <v>18</v>
      </c>
      <c r="J516">
        <v>719.1</v>
      </c>
      <c r="K516" t="str">
        <f t="shared" si="40"/>
        <v>Jul</v>
      </c>
      <c r="L516" t="str">
        <f t="shared" si="41"/>
        <v>Low</v>
      </c>
      <c r="M516" t="str">
        <f t="shared" si="42"/>
        <v>Average</v>
      </c>
      <c r="N516">
        <f t="shared" si="44"/>
        <v>278.04000000000002</v>
      </c>
      <c r="O516" s="6">
        <v>0.1</v>
      </c>
      <c r="P516">
        <f t="shared" si="43"/>
        <v>647.19000000000005</v>
      </c>
    </row>
    <row r="517" spans="1:16" x14ac:dyDescent="0.25">
      <c r="A517" t="s">
        <v>553</v>
      </c>
      <c r="B517" s="1">
        <v>45909</v>
      </c>
      <c r="C517" t="s">
        <v>17</v>
      </c>
      <c r="D517" t="s">
        <v>31</v>
      </c>
      <c r="E517" t="s">
        <v>41</v>
      </c>
      <c r="F517" t="s">
        <v>14</v>
      </c>
      <c r="G517" t="s">
        <v>15</v>
      </c>
      <c r="H517">
        <v>35.799999999999997</v>
      </c>
      <c r="I517">
        <v>14</v>
      </c>
      <c r="J517">
        <v>501.2</v>
      </c>
      <c r="K517" t="str">
        <f t="shared" si="40"/>
        <v>Sep</v>
      </c>
      <c r="L517" t="str">
        <f t="shared" si="41"/>
        <v>Low</v>
      </c>
      <c r="M517" t="str">
        <f t="shared" si="42"/>
        <v>Average</v>
      </c>
      <c r="N517">
        <f t="shared" si="44"/>
        <v>-217.90000000000003</v>
      </c>
      <c r="O517" s="6">
        <v>0.1</v>
      </c>
      <c r="P517">
        <f t="shared" si="43"/>
        <v>451.08</v>
      </c>
    </row>
    <row r="518" spans="1:16" x14ac:dyDescent="0.25">
      <c r="A518" t="s">
        <v>554</v>
      </c>
      <c r="B518" s="1">
        <v>45947</v>
      </c>
      <c r="C518" t="s">
        <v>30</v>
      </c>
      <c r="D518" t="s">
        <v>35</v>
      </c>
      <c r="E518" t="s">
        <v>45</v>
      </c>
      <c r="F518" t="s">
        <v>32</v>
      </c>
      <c r="G518" t="s">
        <v>15</v>
      </c>
      <c r="H518">
        <v>112.82</v>
      </c>
      <c r="I518">
        <v>1</v>
      </c>
      <c r="J518">
        <v>112.82</v>
      </c>
      <c r="K518" t="str">
        <f t="shared" si="40"/>
        <v>Oct</v>
      </c>
      <c r="L518" t="str">
        <f t="shared" si="41"/>
        <v>Low</v>
      </c>
      <c r="M518" t="str">
        <f t="shared" si="42"/>
        <v>Low</v>
      </c>
      <c r="N518">
        <f t="shared" si="44"/>
        <v>-388.38</v>
      </c>
      <c r="O518" s="6">
        <v>0.1</v>
      </c>
      <c r="P518">
        <f t="shared" si="43"/>
        <v>101.538</v>
      </c>
    </row>
    <row r="519" spans="1:16" x14ac:dyDescent="0.25">
      <c r="A519" t="s">
        <v>555</v>
      </c>
      <c r="B519" s="1">
        <v>45933</v>
      </c>
      <c r="C519" t="s">
        <v>30</v>
      </c>
      <c r="D519" t="s">
        <v>31</v>
      </c>
      <c r="E519" t="s">
        <v>18</v>
      </c>
      <c r="F519" t="s">
        <v>28</v>
      </c>
      <c r="G519" t="s">
        <v>36</v>
      </c>
      <c r="H519">
        <v>208.32</v>
      </c>
      <c r="I519">
        <v>10</v>
      </c>
      <c r="J519">
        <v>2083.1999999999998</v>
      </c>
      <c r="K519" t="str">
        <f t="shared" si="40"/>
        <v>Oct</v>
      </c>
      <c r="L519" t="str">
        <f t="shared" si="41"/>
        <v>High</v>
      </c>
      <c r="M519" t="str">
        <f t="shared" si="42"/>
        <v>Good</v>
      </c>
      <c r="N519">
        <f t="shared" si="44"/>
        <v>1970.3799999999999</v>
      </c>
      <c r="O519" s="6">
        <v>0.1</v>
      </c>
      <c r="P519">
        <f t="shared" si="43"/>
        <v>1874.8799999999999</v>
      </c>
    </row>
    <row r="520" spans="1:16" x14ac:dyDescent="0.25">
      <c r="A520" t="s">
        <v>556</v>
      </c>
      <c r="B520" s="1">
        <v>45939</v>
      </c>
      <c r="C520" t="s">
        <v>11</v>
      </c>
      <c r="D520" t="s">
        <v>55</v>
      </c>
      <c r="E520" t="s">
        <v>45</v>
      </c>
      <c r="F520" t="s">
        <v>32</v>
      </c>
      <c r="G520" t="s">
        <v>20</v>
      </c>
      <c r="H520">
        <v>247.2</v>
      </c>
      <c r="I520">
        <v>17</v>
      </c>
      <c r="J520">
        <v>4202.3999999999996</v>
      </c>
      <c r="K520" t="str">
        <f t="shared" si="40"/>
        <v>Oct</v>
      </c>
      <c r="L520" t="str">
        <f t="shared" si="41"/>
        <v>High</v>
      </c>
      <c r="M520" t="str">
        <f t="shared" si="42"/>
        <v>Excellent</v>
      </c>
      <c r="N520">
        <f t="shared" si="44"/>
        <v>2119.1999999999998</v>
      </c>
      <c r="O520" s="6">
        <v>0.1</v>
      </c>
      <c r="P520">
        <f t="shared" si="43"/>
        <v>3782.16</v>
      </c>
    </row>
    <row r="521" spans="1:16" x14ac:dyDescent="0.25">
      <c r="A521" t="s">
        <v>557</v>
      </c>
      <c r="B521" s="1">
        <v>45845</v>
      </c>
      <c r="C521" t="s">
        <v>11</v>
      </c>
      <c r="D521" t="s">
        <v>12</v>
      </c>
      <c r="E521" t="s">
        <v>41</v>
      </c>
      <c r="F521" t="s">
        <v>42</v>
      </c>
      <c r="G521" t="s">
        <v>15</v>
      </c>
      <c r="H521">
        <v>63.09</v>
      </c>
      <c r="I521">
        <v>18</v>
      </c>
      <c r="J521">
        <v>1135.6199999999999</v>
      </c>
      <c r="K521" t="str">
        <f t="shared" si="40"/>
        <v>Jul</v>
      </c>
      <c r="L521" t="str">
        <f t="shared" si="41"/>
        <v>Low</v>
      </c>
      <c r="M521" t="str">
        <f t="shared" si="42"/>
        <v>Average</v>
      </c>
      <c r="N521">
        <f t="shared" si="44"/>
        <v>-3066.7799999999997</v>
      </c>
      <c r="O521" s="6">
        <v>0.1</v>
      </c>
      <c r="P521">
        <f t="shared" si="43"/>
        <v>1022.0579999999999</v>
      </c>
    </row>
    <row r="522" spans="1:16" x14ac:dyDescent="0.25">
      <c r="A522" t="s">
        <v>558</v>
      </c>
      <c r="B522" s="1">
        <v>45875</v>
      </c>
      <c r="C522" t="s">
        <v>17</v>
      </c>
      <c r="D522" t="s">
        <v>12</v>
      </c>
      <c r="E522" t="s">
        <v>23</v>
      </c>
      <c r="F522" t="s">
        <v>32</v>
      </c>
      <c r="G522" t="s">
        <v>15</v>
      </c>
      <c r="H522">
        <v>160.71</v>
      </c>
      <c r="I522">
        <v>4</v>
      </c>
      <c r="J522">
        <v>642.84</v>
      </c>
      <c r="K522" t="str">
        <f t="shared" si="40"/>
        <v>Aug</v>
      </c>
      <c r="L522" t="str">
        <f t="shared" si="41"/>
        <v>Low</v>
      </c>
      <c r="M522" t="str">
        <f t="shared" si="42"/>
        <v>Average</v>
      </c>
      <c r="N522">
        <f t="shared" si="44"/>
        <v>-492.77999999999986</v>
      </c>
      <c r="O522" s="6">
        <v>0.1</v>
      </c>
      <c r="P522">
        <f t="shared" si="43"/>
        <v>578.55600000000004</v>
      </c>
    </row>
    <row r="523" spans="1:16" x14ac:dyDescent="0.25">
      <c r="A523" t="s">
        <v>559</v>
      </c>
      <c r="B523" s="1">
        <v>45888</v>
      </c>
      <c r="C523" t="s">
        <v>34</v>
      </c>
      <c r="D523" t="s">
        <v>22</v>
      </c>
      <c r="E523" t="s">
        <v>41</v>
      </c>
      <c r="F523" t="s">
        <v>39</v>
      </c>
      <c r="G523" t="s">
        <v>15</v>
      </c>
      <c r="H523">
        <v>113.8</v>
      </c>
      <c r="I523">
        <v>9</v>
      </c>
      <c r="J523">
        <v>1024.2</v>
      </c>
      <c r="K523" t="str">
        <f t="shared" si="40"/>
        <v>Aug</v>
      </c>
      <c r="L523" t="str">
        <f t="shared" si="41"/>
        <v>Low</v>
      </c>
      <c r="M523" t="str">
        <f t="shared" si="42"/>
        <v>Average</v>
      </c>
      <c r="N523">
        <f t="shared" si="44"/>
        <v>381.36</v>
      </c>
      <c r="O523" s="6">
        <v>0.1</v>
      </c>
      <c r="P523">
        <f t="shared" si="43"/>
        <v>921.78000000000009</v>
      </c>
    </row>
    <row r="524" spans="1:16" x14ac:dyDescent="0.25">
      <c r="A524" t="s">
        <v>560</v>
      </c>
      <c r="B524" s="1">
        <v>45779</v>
      </c>
      <c r="C524" t="s">
        <v>17</v>
      </c>
      <c r="D524" t="s">
        <v>55</v>
      </c>
      <c r="E524" t="s">
        <v>27</v>
      </c>
      <c r="F524" t="s">
        <v>32</v>
      </c>
      <c r="G524" t="s">
        <v>20</v>
      </c>
      <c r="H524">
        <v>243.38</v>
      </c>
      <c r="I524">
        <v>7</v>
      </c>
      <c r="J524">
        <v>1703.66</v>
      </c>
      <c r="K524" t="str">
        <f t="shared" si="40"/>
        <v>May</v>
      </c>
      <c r="L524" t="str">
        <f t="shared" si="41"/>
        <v>Low</v>
      </c>
      <c r="M524" t="str">
        <f t="shared" si="42"/>
        <v>Good</v>
      </c>
      <c r="N524">
        <f t="shared" si="44"/>
        <v>679.46</v>
      </c>
      <c r="O524" s="6">
        <v>0.1</v>
      </c>
      <c r="P524">
        <f t="shared" si="43"/>
        <v>1533.2940000000001</v>
      </c>
    </row>
    <row r="525" spans="1:16" x14ac:dyDescent="0.25">
      <c r="A525" t="s">
        <v>561</v>
      </c>
      <c r="B525" s="1">
        <v>45970</v>
      </c>
      <c r="C525" t="s">
        <v>30</v>
      </c>
      <c r="D525" t="s">
        <v>55</v>
      </c>
      <c r="E525" t="s">
        <v>23</v>
      </c>
      <c r="F525" t="s">
        <v>39</v>
      </c>
      <c r="G525" t="s">
        <v>15</v>
      </c>
      <c r="H525">
        <v>215.27</v>
      </c>
      <c r="I525">
        <v>14</v>
      </c>
      <c r="J525">
        <v>3013.78</v>
      </c>
      <c r="K525" t="str">
        <f t="shared" si="40"/>
        <v>Nov</v>
      </c>
      <c r="L525" t="str">
        <f t="shared" si="41"/>
        <v>High</v>
      </c>
      <c r="M525" t="str">
        <f t="shared" si="42"/>
        <v>Excellent</v>
      </c>
      <c r="N525">
        <f t="shared" si="44"/>
        <v>1310.1200000000001</v>
      </c>
      <c r="O525" s="6">
        <v>0.1</v>
      </c>
      <c r="P525">
        <f t="shared" si="43"/>
        <v>2712.402</v>
      </c>
    </row>
    <row r="526" spans="1:16" x14ac:dyDescent="0.25">
      <c r="A526" t="s">
        <v>562</v>
      </c>
      <c r="B526" s="1">
        <v>45763</v>
      </c>
      <c r="C526" t="s">
        <v>25</v>
      </c>
      <c r="D526" t="s">
        <v>35</v>
      </c>
      <c r="E526" t="s">
        <v>18</v>
      </c>
      <c r="F526" t="s">
        <v>32</v>
      </c>
      <c r="G526" t="s">
        <v>20</v>
      </c>
      <c r="H526">
        <v>214.43</v>
      </c>
      <c r="I526">
        <v>2</v>
      </c>
      <c r="J526">
        <v>428.86</v>
      </c>
      <c r="K526" t="str">
        <f t="shared" si="40"/>
        <v>Apr</v>
      </c>
      <c r="L526" t="str">
        <f t="shared" si="41"/>
        <v>Low</v>
      </c>
      <c r="M526" t="str">
        <f t="shared" si="42"/>
        <v>Low</v>
      </c>
      <c r="N526">
        <f t="shared" si="44"/>
        <v>-2584.92</v>
      </c>
      <c r="O526" s="6">
        <v>0.1</v>
      </c>
      <c r="P526">
        <f t="shared" si="43"/>
        <v>385.97400000000005</v>
      </c>
    </row>
    <row r="527" spans="1:16" x14ac:dyDescent="0.25">
      <c r="A527" t="s">
        <v>563</v>
      </c>
      <c r="B527" s="1">
        <v>45933</v>
      </c>
      <c r="C527" t="s">
        <v>34</v>
      </c>
      <c r="D527" t="s">
        <v>12</v>
      </c>
      <c r="E527" t="s">
        <v>13</v>
      </c>
      <c r="F527" t="s">
        <v>32</v>
      </c>
      <c r="G527" t="s">
        <v>20</v>
      </c>
      <c r="H527">
        <v>133.11000000000001</v>
      </c>
      <c r="I527">
        <v>6</v>
      </c>
      <c r="J527">
        <v>798.66</v>
      </c>
      <c r="K527" t="str">
        <f t="shared" si="40"/>
        <v>Oct</v>
      </c>
      <c r="L527" t="str">
        <f t="shared" si="41"/>
        <v>Low</v>
      </c>
      <c r="M527" t="str">
        <f t="shared" si="42"/>
        <v>Average</v>
      </c>
      <c r="N527">
        <f t="shared" si="44"/>
        <v>369.79999999999995</v>
      </c>
      <c r="O527" s="6">
        <v>0.1</v>
      </c>
      <c r="P527">
        <f t="shared" si="43"/>
        <v>718.79399999999998</v>
      </c>
    </row>
    <row r="528" spans="1:16" x14ac:dyDescent="0.25">
      <c r="A528" t="s">
        <v>564</v>
      </c>
      <c r="B528" s="1">
        <v>45794</v>
      </c>
      <c r="C528" t="s">
        <v>17</v>
      </c>
      <c r="D528" t="s">
        <v>22</v>
      </c>
      <c r="E528" t="s">
        <v>23</v>
      </c>
      <c r="F528" t="s">
        <v>39</v>
      </c>
      <c r="G528" t="s">
        <v>36</v>
      </c>
      <c r="H528">
        <v>121.26</v>
      </c>
      <c r="I528">
        <v>17</v>
      </c>
      <c r="J528">
        <v>2061.42</v>
      </c>
      <c r="K528" t="str">
        <f t="shared" si="40"/>
        <v>May</v>
      </c>
      <c r="L528" t="str">
        <f t="shared" si="41"/>
        <v>High</v>
      </c>
      <c r="M528" t="str">
        <f t="shared" si="42"/>
        <v>Good</v>
      </c>
      <c r="N528">
        <f t="shared" si="44"/>
        <v>1262.7600000000002</v>
      </c>
      <c r="O528" s="6">
        <v>0.1</v>
      </c>
      <c r="P528">
        <f t="shared" si="43"/>
        <v>1855.278</v>
      </c>
    </row>
    <row r="529" spans="1:16" x14ac:dyDescent="0.25">
      <c r="A529" t="s">
        <v>565</v>
      </c>
      <c r="B529" s="1">
        <v>45688</v>
      </c>
      <c r="C529" t="s">
        <v>17</v>
      </c>
      <c r="D529" t="s">
        <v>26</v>
      </c>
      <c r="E529" t="s">
        <v>27</v>
      </c>
      <c r="F529" t="s">
        <v>39</v>
      </c>
      <c r="G529" t="s">
        <v>15</v>
      </c>
      <c r="H529">
        <v>90.15</v>
      </c>
      <c r="I529">
        <v>9</v>
      </c>
      <c r="J529">
        <v>811.35</v>
      </c>
      <c r="K529" t="str">
        <f t="shared" si="40"/>
        <v>Jan</v>
      </c>
      <c r="L529" t="str">
        <f t="shared" si="41"/>
        <v>Low</v>
      </c>
      <c r="M529" t="str">
        <f t="shared" si="42"/>
        <v>Average</v>
      </c>
      <c r="N529">
        <f t="shared" si="44"/>
        <v>-1250.0700000000002</v>
      </c>
      <c r="O529" s="6">
        <v>0.1</v>
      </c>
      <c r="P529">
        <f t="shared" si="43"/>
        <v>730.21500000000003</v>
      </c>
    </row>
    <row r="530" spans="1:16" x14ac:dyDescent="0.25">
      <c r="A530" t="s">
        <v>566</v>
      </c>
      <c r="B530" s="1">
        <v>45785</v>
      </c>
      <c r="C530" t="s">
        <v>17</v>
      </c>
      <c r="D530" t="s">
        <v>35</v>
      </c>
      <c r="E530" t="s">
        <v>23</v>
      </c>
      <c r="F530" t="s">
        <v>39</v>
      </c>
      <c r="G530" t="s">
        <v>20</v>
      </c>
      <c r="H530">
        <v>42.4</v>
      </c>
      <c r="I530">
        <v>5</v>
      </c>
      <c r="J530">
        <v>212</v>
      </c>
      <c r="K530" t="str">
        <f t="shared" si="40"/>
        <v>May</v>
      </c>
      <c r="L530" t="str">
        <f t="shared" si="41"/>
        <v>Low</v>
      </c>
      <c r="M530" t="str">
        <f t="shared" si="42"/>
        <v>Low</v>
      </c>
      <c r="N530">
        <f t="shared" si="44"/>
        <v>-599.35</v>
      </c>
      <c r="O530" s="6">
        <v>0.1</v>
      </c>
      <c r="P530">
        <f t="shared" si="43"/>
        <v>190.8</v>
      </c>
    </row>
    <row r="531" spans="1:16" x14ac:dyDescent="0.25">
      <c r="A531" t="s">
        <v>567</v>
      </c>
      <c r="B531" s="1">
        <v>45859</v>
      </c>
      <c r="C531" t="s">
        <v>30</v>
      </c>
      <c r="D531" t="s">
        <v>55</v>
      </c>
      <c r="E531" t="s">
        <v>27</v>
      </c>
      <c r="F531" t="s">
        <v>32</v>
      </c>
      <c r="G531" t="s">
        <v>20</v>
      </c>
      <c r="H531">
        <v>220.24</v>
      </c>
      <c r="I531">
        <v>16</v>
      </c>
      <c r="J531">
        <v>3523.84</v>
      </c>
      <c r="K531" t="str">
        <f t="shared" si="40"/>
        <v>Jul</v>
      </c>
      <c r="L531" t="str">
        <f t="shared" si="41"/>
        <v>High</v>
      </c>
      <c r="M531" t="str">
        <f t="shared" si="42"/>
        <v>Excellent</v>
      </c>
      <c r="N531">
        <f t="shared" si="44"/>
        <v>3311.84</v>
      </c>
      <c r="O531" s="6">
        <v>0.1</v>
      </c>
      <c r="P531">
        <f t="shared" si="43"/>
        <v>3171.4560000000001</v>
      </c>
    </row>
    <row r="532" spans="1:16" x14ac:dyDescent="0.25">
      <c r="A532" t="s">
        <v>568</v>
      </c>
      <c r="B532" s="1">
        <v>45870</v>
      </c>
      <c r="C532" t="s">
        <v>38</v>
      </c>
      <c r="D532" t="s">
        <v>22</v>
      </c>
      <c r="E532" t="s">
        <v>27</v>
      </c>
      <c r="F532" t="s">
        <v>39</v>
      </c>
      <c r="G532" t="s">
        <v>15</v>
      </c>
      <c r="H532">
        <v>208.84</v>
      </c>
      <c r="I532">
        <v>13</v>
      </c>
      <c r="J532">
        <v>2714.92</v>
      </c>
      <c r="K532" t="str">
        <f t="shared" si="40"/>
        <v>Aug</v>
      </c>
      <c r="L532" t="str">
        <f t="shared" si="41"/>
        <v>High</v>
      </c>
      <c r="M532" t="str">
        <f t="shared" si="42"/>
        <v>Good</v>
      </c>
      <c r="N532">
        <f t="shared" si="44"/>
        <v>-808.92000000000007</v>
      </c>
      <c r="O532" s="6">
        <v>0.1</v>
      </c>
      <c r="P532">
        <f t="shared" si="43"/>
        <v>2443.4280000000003</v>
      </c>
    </row>
    <row r="533" spans="1:16" x14ac:dyDescent="0.25">
      <c r="A533" t="s">
        <v>569</v>
      </c>
      <c r="B533" s="1">
        <v>45864</v>
      </c>
      <c r="C533" t="s">
        <v>17</v>
      </c>
      <c r="D533" t="s">
        <v>35</v>
      </c>
      <c r="E533" t="s">
        <v>27</v>
      </c>
      <c r="F533" t="s">
        <v>32</v>
      </c>
      <c r="G533" t="s">
        <v>36</v>
      </c>
      <c r="H533">
        <v>249.94</v>
      </c>
      <c r="I533">
        <v>17</v>
      </c>
      <c r="J533">
        <v>4248.9799999999996</v>
      </c>
      <c r="K533" t="str">
        <f t="shared" si="40"/>
        <v>Jul</v>
      </c>
      <c r="L533" t="str">
        <f t="shared" si="41"/>
        <v>High</v>
      </c>
      <c r="M533" t="str">
        <f t="shared" si="42"/>
        <v>Excellent</v>
      </c>
      <c r="N533">
        <f t="shared" si="44"/>
        <v>1534.0599999999995</v>
      </c>
      <c r="O533" s="6">
        <v>0.1</v>
      </c>
      <c r="P533">
        <f t="shared" si="43"/>
        <v>3824.0819999999999</v>
      </c>
    </row>
    <row r="534" spans="1:16" x14ac:dyDescent="0.25">
      <c r="A534" t="s">
        <v>570</v>
      </c>
      <c r="B534" s="1">
        <v>45907</v>
      </c>
      <c r="C534" t="s">
        <v>25</v>
      </c>
      <c r="D534" t="s">
        <v>22</v>
      </c>
      <c r="E534" t="s">
        <v>27</v>
      </c>
      <c r="F534" t="s">
        <v>19</v>
      </c>
      <c r="G534" t="s">
        <v>20</v>
      </c>
      <c r="H534">
        <v>249.26</v>
      </c>
      <c r="I534">
        <v>11</v>
      </c>
      <c r="J534">
        <v>2741.86</v>
      </c>
      <c r="K534" t="str">
        <f t="shared" si="40"/>
        <v>Sep</v>
      </c>
      <c r="L534" t="str">
        <f t="shared" si="41"/>
        <v>High</v>
      </c>
      <c r="M534" t="str">
        <f t="shared" si="42"/>
        <v>Good</v>
      </c>
      <c r="N534">
        <f t="shared" si="44"/>
        <v>-1507.1199999999994</v>
      </c>
      <c r="O534" s="6">
        <v>0.1</v>
      </c>
      <c r="P534">
        <f t="shared" si="43"/>
        <v>2467.674</v>
      </c>
    </row>
    <row r="535" spans="1:16" x14ac:dyDescent="0.25">
      <c r="A535" t="s">
        <v>571</v>
      </c>
      <c r="B535" s="1">
        <v>45892</v>
      </c>
      <c r="C535" t="s">
        <v>11</v>
      </c>
      <c r="D535" t="s">
        <v>55</v>
      </c>
      <c r="E535" t="s">
        <v>41</v>
      </c>
      <c r="F535" t="s">
        <v>14</v>
      </c>
      <c r="G535" t="s">
        <v>36</v>
      </c>
      <c r="H535">
        <v>152.19</v>
      </c>
      <c r="I535">
        <v>12</v>
      </c>
      <c r="J535">
        <v>1826.28</v>
      </c>
      <c r="K535" t="str">
        <f t="shared" si="40"/>
        <v>Aug</v>
      </c>
      <c r="L535" t="str">
        <f t="shared" si="41"/>
        <v>Low</v>
      </c>
      <c r="M535" t="str">
        <f t="shared" si="42"/>
        <v>Good</v>
      </c>
      <c r="N535">
        <f t="shared" si="44"/>
        <v>-915.58000000000015</v>
      </c>
      <c r="O535" s="6">
        <v>0.1</v>
      </c>
      <c r="P535">
        <f t="shared" si="43"/>
        <v>1643.652</v>
      </c>
    </row>
    <row r="536" spans="1:16" x14ac:dyDescent="0.25">
      <c r="A536" t="s">
        <v>572</v>
      </c>
      <c r="B536" s="1">
        <v>45766</v>
      </c>
      <c r="C536" t="s">
        <v>34</v>
      </c>
      <c r="D536" t="s">
        <v>35</v>
      </c>
      <c r="E536" t="s">
        <v>13</v>
      </c>
      <c r="F536" t="s">
        <v>32</v>
      </c>
      <c r="G536" t="s">
        <v>20</v>
      </c>
      <c r="H536">
        <v>199.18</v>
      </c>
      <c r="I536">
        <v>16</v>
      </c>
      <c r="J536">
        <v>3186.88</v>
      </c>
      <c r="K536" t="str">
        <f t="shared" si="40"/>
        <v>Apr</v>
      </c>
      <c r="L536" t="str">
        <f t="shared" si="41"/>
        <v>High</v>
      </c>
      <c r="M536" t="str">
        <f t="shared" si="42"/>
        <v>Excellent</v>
      </c>
      <c r="N536">
        <f t="shared" si="44"/>
        <v>1360.6000000000001</v>
      </c>
      <c r="O536" s="6">
        <v>0.1</v>
      </c>
      <c r="P536">
        <f t="shared" si="43"/>
        <v>2868.192</v>
      </c>
    </row>
    <row r="537" spans="1:16" x14ac:dyDescent="0.25">
      <c r="A537" t="s">
        <v>573</v>
      </c>
      <c r="B537" s="1">
        <v>45953</v>
      </c>
      <c r="C537" t="s">
        <v>25</v>
      </c>
      <c r="D537" t="s">
        <v>31</v>
      </c>
      <c r="E537" t="s">
        <v>13</v>
      </c>
      <c r="F537" t="s">
        <v>28</v>
      </c>
      <c r="G537" t="s">
        <v>15</v>
      </c>
      <c r="H537">
        <v>237.85</v>
      </c>
      <c r="I537">
        <v>5</v>
      </c>
      <c r="J537">
        <v>1189.25</v>
      </c>
      <c r="K537" t="str">
        <f t="shared" si="40"/>
        <v>Oct</v>
      </c>
      <c r="L537" t="str">
        <f t="shared" si="41"/>
        <v>Low</v>
      </c>
      <c r="M537" t="str">
        <f t="shared" si="42"/>
        <v>Average</v>
      </c>
      <c r="N537">
        <f t="shared" si="44"/>
        <v>-1997.63</v>
      </c>
      <c r="O537" s="6">
        <v>0.1</v>
      </c>
      <c r="P537">
        <f t="shared" si="43"/>
        <v>1070.325</v>
      </c>
    </row>
    <row r="538" spans="1:16" x14ac:dyDescent="0.25">
      <c r="A538" t="s">
        <v>574</v>
      </c>
      <c r="B538" s="1">
        <v>45681</v>
      </c>
      <c r="C538" t="s">
        <v>17</v>
      </c>
      <c r="D538" t="s">
        <v>31</v>
      </c>
      <c r="E538" t="s">
        <v>45</v>
      </c>
      <c r="F538" t="s">
        <v>19</v>
      </c>
      <c r="G538" t="s">
        <v>15</v>
      </c>
      <c r="H538">
        <v>216.92</v>
      </c>
      <c r="I538">
        <v>4</v>
      </c>
      <c r="J538">
        <v>867.68</v>
      </c>
      <c r="K538" t="str">
        <f t="shared" si="40"/>
        <v>Jan</v>
      </c>
      <c r="L538" t="str">
        <f t="shared" si="41"/>
        <v>Low</v>
      </c>
      <c r="M538" t="str">
        <f t="shared" si="42"/>
        <v>Average</v>
      </c>
      <c r="N538">
        <f t="shared" si="44"/>
        <v>-321.57000000000005</v>
      </c>
      <c r="O538" s="6">
        <v>0.1</v>
      </c>
      <c r="P538">
        <f t="shared" si="43"/>
        <v>780.91199999999992</v>
      </c>
    </row>
    <row r="539" spans="1:16" x14ac:dyDescent="0.25">
      <c r="A539" t="s">
        <v>575</v>
      </c>
      <c r="B539" s="1">
        <v>45883</v>
      </c>
      <c r="C539" t="s">
        <v>11</v>
      </c>
      <c r="D539" t="s">
        <v>31</v>
      </c>
      <c r="E539" t="s">
        <v>23</v>
      </c>
      <c r="F539" t="s">
        <v>28</v>
      </c>
      <c r="G539" t="s">
        <v>15</v>
      </c>
      <c r="H539">
        <v>84.42</v>
      </c>
      <c r="I539">
        <v>15</v>
      </c>
      <c r="J539">
        <v>1266.3</v>
      </c>
      <c r="K539" t="str">
        <f t="shared" si="40"/>
        <v>Aug</v>
      </c>
      <c r="L539" t="str">
        <f t="shared" si="41"/>
        <v>Low</v>
      </c>
      <c r="M539" t="str">
        <f t="shared" si="42"/>
        <v>Average</v>
      </c>
      <c r="N539">
        <f t="shared" si="44"/>
        <v>398.62</v>
      </c>
      <c r="O539" s="6">
        <v>0.1</v>
      </c>
      <c r="P539">
        <f t="shared" si="43"/>
        <v>1139.67</v>
      </c>
    </row>
    <row r="540" spans="1:16" x14ac:dyDescent="0.25">
      <c r="A540" t="s">
        <v>576</v>
      </c>
      <c r="B540" s="1">
        <v>45990</v>
      </c>
      <c r="C540" t="s">
        <v>30</v>
      </c>
      <c r="D540" t="s">
        <v>35</v>
      </c>
      <c r="E540" t="s">
        <v>45</v>
      </c>
      <c r="F540" t="s">
        <v>28</v>
      </c>
      <c r="G540" t="s">
        <v>36</v>
      </c>
      <c r="H540">
        <v>129.12</v>
      </c>
      <c r="I540">
        <v>10</v>
      </c>
      <c r="J540">
        <v>1291.2</v>
      </c>
      <c r="K540" t="str">
        <f t="shared" si="40"/>
        <v>Nov</v>
      </c>
      <c r="L540" t="str">
        <f t="shared" si="41"/>
        <v>Low</v>
      </c>
      <c r="M540" t="str">
        <f t="shared" si="42"/>
        <v>Average</v>
      </c>
      <c r="N540">
        <f t="shared" si="44"/>
        <v>24.900000000000091</v>
      </c>
      <c r="O540" s="6">
        <v>0.1</v>
      </c>
      <c r="P540">
        <f t="shared" si="43"/>
        <v>1162.0800000000002</v>
      </c>
    </row>
    <row r="541" spans="1:16" x14ac:dyDescent="0.25">
      <c r="A541" t="s">
        <v>577</v>
      </c>
      <c r="B541" s="1">
        <v>45786</v>
      </c>
      <c r="C541" t="s">
        <v>34</v>
      </c>
      <c r="D541" t="s">
        <v>12</v>
      </c>
      <c r="E541" t="s">
        <v>27</v>
      </c>
      <c r="F541" t="s">
        <v>14</v>
      </c>
      <c r="G541" t="s">
        <v>15</v>
      </c>
      <c r="H541">
        <v>58.42</v>
      </c>
      <c r="I541">
        <v>3</v>
      </c>
      <c r="J541">
        <v>175.26</v>
      </c>
      <c r="K541" t="str">
        <f t="shared" si="40"/>
        <v>May</v>
      </c>
      <c r="L541" t="str">
        <f t="shared" si="41"/>
        <v>Low</v>
      </c>
      <c r="M541" t="str">
        <f t="shared" si="42"/>
        <v>Low</v>
      </c>
      <c r="N541">
        <f t="shared" si="44"/>
        <v>-1115.94</v>
      </c>
      <c r="O541" s="6">
        <v>0.1</v>
      </c>
      <c r="P541">
        <f t="shared" si="43"/>
        <v>157.73400000000001</v>
      </c>
    </row>
    <row r="542" spans="1:16" x14ac:dyDescent="0.25">
      <c r="A542" t="s">
        <v>578</v>
      </c>
      <c r="B542" s="1">
        <v>45860</v>
      </c>
      <c r="C542" t="s">
        <v>17</v>
      </c>
      <c r="D542" t="s">
        <v>12</v>
      </c>
      <c r="E542" t="s">
        <v>23</v>
      </c>
      <c r="F542" t="s">
        <v>61</v>
      </c>
      <c r="G542" t="s">
        <v>20</v>
      </c>
      <c r="H542">
        <v>239.89</v>
      </c>
      <c r="I542">
        <v>10</v>
      </c>
      <c r="J542">
        <v>2398.9</v>
      </c>
      <c r="K542" t="str">
        <f t="shared" si="40"/>
        <v>Jul</v>
      </c>
      <c r="L542" t="str">
        <f t="shared" si="41"/>
        <v>High</v>
      </c>
      <c r="M542" t="str">
        <f t="shared" si="42"/>
        <v>Good</v>
      </c>
      <c r="N542">
        <f t="shared" si="44"/>
        <v>2223.6400000000003</v>
      </c>
      <c r="O542" s="6">
        <v>0.1</v>
      </c>
      <c r="P542">
        <f t="shared" si="43"/>
        <v>2159.0100000000002</v>
      </c>
    </row>
    <row r="543" spans="1:16" x14ac:dyDescent="0.25">
      <c r="A543" t="s">
        <v>579</v>
      </c>
      <c r="B543" s="1">
        <v>45704</v>
      </c>
      <c r="C543" t="s">
        <v>11</v>
      </c>
      <c r="D543" t="s">
        <v>26</v>
      </c>
      <c r="E543" t="s">
        <v>41</v>
      </c>
      <c r="F543" t="s">
        <v>19</v>
      </c>
      <c r="G543" t="s">
        <v>15</v>
      </c>
      <c r="H543">
        <v>163.36000000000001</v>
      </c>
      <c r="I543">
        <v>4</v>
      </c>
      <c r="J543">
        <v>653.44000000000005</v>
      </c>
      <c r="K543" t="str">
        <f t="shared" si="40"/>
        <v>Feb</v>
      </c>
      <c r="L543" t="str">
        <f t="shared" si="41"/>
        <v>Low</v>
      </c>
      <c r="M543" t="str">
        <f t="shared" si="42"/>
        <v>Average</v>
      </c>
      <c r="N543">
        <f t="shared" si="44"/>
        <v>-1745.46</v>
      </c>
      <c r="O543" s="6">
        <v>0.1</v>
      </c>
      <c r="P543">
        <f t="shared" si="43"/>
        <v>588.09600000000012</v>
      </c>
    </row>
    <row r="544" spans="1:16" x14ac:dyDescent="0.25">
      <c r="A544" t="s">
        <v>580</v>
      </c>
      <c r="B544" s="1">
        <v>45961</v>
      </c>
      <c r="C544" t="s">
        <v>25</v>
      </c>
      <c r="D544" t="s">
        <v>12</v>
      </c>
      <c r="E544" t="s">
        <v>41</v>
      </c>
      <c r="F544" t="s">
        <v>19</v>
      </c>
      <c r="G544" t="s">
        <v>15</v>
      </c>
      <c r="H544">
        <v>80.3</v>
      </c>
      <c r="I544">
        <v>8</v>
      </c>
      <c r="J544">
        <v>642.4</v>
      </c>
      <c r="K544" t="str">
        <f t="shared" si="40"/>
        <v>Oct</v>
      </c>
      <c r="L544" t="str">
        <f t="shared" si="41"/>
        <v>Low</v>
      </c>
      <c r="M544" t="str">
        <f t="shared" si="42"/>
        <v>Average</v>
      </c>
      <c r="N544">
        <f t="shared" si="44"/>
        <v>-11.040000000000077</v>
      </c>
      <c r="O544" s="6">
        <v>0.1</v>
      </c>
      <c r="P544">
        <f t="shared" si="43"/>
        <v>578.16</v>
      </c>
    </row>
    <row r="545" spans="1:16" x14ac:dyDescent="0.25">
      <c r="A545" t="s">
        <v>581</v>
      </c>
      <c r="B545" s="1">
        <v>46014</v>
      </c>
      <c r="C545" t="s">
        <v>11</v>
      </c>
      <c r="D545" t="s">
        <v>31</v>
      </c>
      <c r="E545" t="s">
        <v>27</v>
      </c>
      <c r="F545" t="s">
        <v>14</v>
      </c>
      <c r="G545" t="s">
        <v>36</v>
      </c>
      <c r="H545">
        <v>177.77</v>
      </c>
      <c r="I545">
        <v>11</v>
      </c>
      <c r="J545">
        <v>1955.47</v>
      </c>
      <c r="K545" t="str">
        <f t="shared" si="40"/>
        <v>Dec</v>
      </c>
      <c r="L545" t="str">
        <f t="shared" si="41"/>
        <v>Low</v>
      </c>
      <c r="M545" t="str">
        <f t="shared" si="42"/>
        <v>Good</v>
      </c>
      <c r="N545">
        <f t="shared" si="44"/>
        <v>1313.0700000000002</v>
      </c>
      <c r="O545" s="6">
        <v>0.1</v>
      </c>
      <c r="P545">
        <f t="shared" si="43"/>
        <v>1759.923</v>
      </c>
    </row>
    <row r="546" spans="1:16" x14ac:dyDescent="0.25">
      <c r="A546" t="s">
        <v>582</v>
      </c>
      <c r="B546" s="1">
        <v>45694</v>
      </c>
      <c r="C546" t="s">
        <v>38</v>
      </c>
      <c r="D546" t="s">
        <v>22</v>
      </c>
      <c r="E546" t="s">
        <v>27</v>
      </c>
      <c r="F546" t="s">
        <v>39</v>
      </c>
      <c r="G546" t="s">
        <v>15</v>
      </c>
      <c r="H546">
        <v>165.99</v>
      </c>
      <c r="I546">
        <v>8</v>
      </c>
      <c r="J546">
        <v>1327.92</v>
      </c>
      <c r="K546" t="str">
        <f t="shared" si="40"/>
        <v>Feb</v>
      </c>
      <c r="L546" t="str">
        <f t="shared" si="41"/>
        <v>Low</v>
      </c>
      <c r="M546" t="str">
        <f t="shared" si="42"/>
        <v>Average</v>
      </c>
      <c r="N546">
        <f t="shared" si="44"/>
        <v>-627.54999999999995</v>
      </c>
      <c r="O546" s="6">
        <v>0.1</v>
      </c>
      <c r="P546">
        <f t="shared" si="43"/>
        <v>1195.1280000000002</v>
      </c>
    </row>
    <row r="547" spans="1:16" x14ac:dyDescent="0.25">
      <c r="A547" t="s">
        <v>583</v>
      </c>
      <c r="B547" s="1">
        <v>45710</v>
      </c>
      <c r="C547" t="s">
        <v>34</v>
      </c>
      <c r="D547" t="s">
        <v>35</v>
      </c>
      <c r="E547" t="s">
        <v>23</v>
      </c>
      <c r="F547" t="s">
        <v>61</v>
      </c>
      <c r="G547" t="s">
        <v>15</v>
      </c>
      <c r="H547">
        <v>108.8</v>
      </c>
      <c r="I547">
        <v>11</v>
      </c>
      <c r="J547">
        <v>1196.8</v>
      </c>
      <c r="K547" t="str">
        <f t="shared" si="40"/>
        <v>Feb</v>
      </c>
      <c r="L547" t="str">
        <f t="shared" si="41"/>
        <v>Low</v>
      </c>
      <c r="M547" t="str">
        <f t="shared" si="42"/>
        <v>Average</v>
      </c>
      <c r="N547">
        <f t="shared" si="44"/>
        <v>-131.12000000000012</v>
      </c>
      <c r="O547" s="6">
        <v>0.1</v>
      </c>
      <c r="P547">
        <f t="shared" si="43"/>
        <v>1077.1199999999999</v>
      </c>
    </row>
    <row r="548" spans="1:16" x14ac:dyDescent="0.25">
      <c r="A548" t="s">
        <v>584</v>
      </c>
      <c r="B548" s="1">
        <v>45986</v>
      </c>
      <c r="C548" t="s">
        <v>11</v>
      </c>
      <c r="D548" t="s">
        <v>55</v>
      </c>
      <c r="E548" t="s">
        <v>18</v>
      </c>
      <c r="F548" t="s">
        <v>19</v>
      </c>
      <c r="G548" t="s">
        <v>20</v>
      </c>
      <c r="H548">
        <v>54.98</v>
      </c>
      <c r="I548">
        <v>5</v>
      </c>
      <c r="J548">
        <v>274.89999999999998</v>
      </c>
      <c r="K548" t="str">
        <f t="shared" si="40"/>
        <v>Nov</v>
      </c>
      <c r="L548" t="str">
        <f t="shared" si="41"/>
        <v>Low</v>
      </c>
      <c r="M548" t="str">
        <f t="shared" si="42"/>
        <v>Low</v>
      </c>
      <c r="N548">
        <f t="shared" si="44"/>
        <v>-921.9</v>
      </c>
      <c r="O548" s="6">
        <v>0.1</v>
      </c>
      <c r="P548">
        <f t="shared" si="43"/>
        <v>247.41</v>
      </c>
    </row>
    <row r="549" spans="1:16" x14ac:dyDescent="0.25">
      <c r="A549" t="s">
        <v>585</v>
      </c>
      <c r="B549" s="1">
        <v>45990</v>
      </c>
      <c r="C549" t="s">
        <v>38</v>
      </c>
      <c r="D549" t="s">
        <v>35</v>
      </c>
      <c r="E549" t="s">
        <v>27</v>
      </c>
      <c r="F549" t="s">
        <v>14</v>
      </c>
      <c r="G549" t="s">
        <v>20</v>
      </c>
      <c r="H549">
        <v>177.75</v>
      </c>
      <c r="I549">
        <v>6</v>
      </c>
      <c r="J549">
        <v>1066.5</v>
      </c>
      <c r="K549" t="str">
        <f t="shared" si="40"/>
        <v>Nov</v>
      </c>
      <c r="L549" t="str">
        <f t="shared" si="41"/>
        <v>Low</v>
      </c>
      <c r="M549" t="str">
        <f t="shared" si="42"/>
        <v>Average</v>
      </c>
      <c r="N549">
        <f t="shared" si="44"/>
        <v>791.6</v>
      </c>
      <c r="O549" s="6">
        <v>0.1</v>
      </c>
      <c r="P549">
        <f t="shared" si="43"/>
        <v>959.85</v>
      </c>
    </row>
    <row r="550" spans="1:16" x14ac:dyDescent="0.25">
      <c r="A550" t="s">
        <v>586</v>
      </c>
      <c r="B550" s="1">
        <v>45735</v>
      </c>
      <c r="C550" t="s">
        <v>25</v>
      </c>
      <c r="D550" t="s">
        <v>12</v>
      </c>
      <c r="E550" t="s">
        <v>41</v>
      </c>
      <c r="F550" t="s">
        <v>39</v>
      </c>
      <c r="G550" t="s">
        <v>15</v>
      </c>
      <c r="H550">
        <v>144.47</v>
      </c>
      <c r="I550">
        <v>14</v>
      </c>
      <c r="J550">
        <v>2022.58</v>
      </c>
      <c r="K550" t="str">
        <f t="shared" si="40"/>
        <v>Mar</v>
      </c>
      <c r="L550" t="str">
        <f t="shared" si="41"/>
        <v>High</v>
      </c>
      <c r="M550" t="str">
        <f t="shared" si="42"/>
        <v>Good</v>
      </c>
      <c r="N550">
        <f t="shared" si="44"/>
        <v>956.07999999999993</v>
      </c>
      <c r="O550" s="6">
        <v>0.1</v>
      </c>
      <c r="P550">
        <f t="shared" si="43"/>
        <v>1820.3219999999999</v>
      </c>
    </row>
    <row r="551" spans="1:16" x14ac:dyDescent="0.25">
      <c r="A551" t="s">
        <v>587</v>
      </c>
      <c r="B551" s="1">
        <v>45702</v>
      </c>
      <c r="C551" t="s">
        <v>30</v>
      </c>
      <c r="D551" t="s">
        <v>22</v>
      </c>
      <c r="E551" t="s">
        <v>18</v>
      </c>
      <c r="F551" t="s">
        <v>28</v>
      </c>
      <c r="G551" t="s">
        <v>36</v>
      </c>
      <c r="H551">
        <v>199.91</v>
      </c>
      <c r="I551">
        <v>4</v>
      </c>
      <c r="J551">
        <v>799.64</v>
      </c>
      <c r="K551" t="str">
        <f t="shared" si="40"/>
        <v>Feb</v>
      </c>
      <c r="L551" t="str">
        <f t="shared" si="41"/>
        <v>Low</v>
      </c>
      <c r="M551" t="str">
        <f t="shared" si="42"/>
        <v>Average</v>
      </c>
      <c r="N551">
        <f t="shared" si="44"/>
        <v>-1222.94</v>
      </c>
      <c r="O551" s="6">
        <v>0.1</v>
      </c>
      <c r="P551">
        <f t="shared" si="43"/>
        <v>719.67600000000004</v>
      </c>
    </row>
    <row r="552" spans="1:16" x14ac:dyDescent="0.25">
      <c r="A552" t="s">
        <v>588</v>
      </c>
      <c r="B552" s="1">
        <v>45837</v>
      </c>
      <c r="C552" t="s">
        <v>34</v>
      </c>
      <c r="D552" t="s">
        <v>26</v>
      </c>
      <c r="E552" t="s">
        <v>23</v>
      </c>
      <c r="F552" t="s">
        <v>32</v>
      </c>
      <c r="G552" t="s">
        <v>20</v>
      </c>
      <c r="H552">
        <v>144.44</v>
      </c>
      <c r="I552">
        <v>14</v>
      </c>
      <c r="J552">
        <v>2022.16</v>
      </c>
      <c r="K552" t="str">
        <f t="shared" si="40"/>
        <v>Jun</v>
      </c>
      <c r="L552" t="str">
        <f t="shared" si="41"/>
        <v>High</v>
      </c>
      <c r="M552" t="str">
        <f t="shared" si="42"/>
        <v>Good</v>
      </c>
      <c r="N552">
        <f t="shared" si="44"/>
        <v>1222.52</v>
      </c>
      <c r="O552" s="6">
        <v>0.1</v>
      </c>
      <c r="P552">
        <f t="shared" si="43"/>
        <v>1819.9440000000002</v>
      </c>
    </row>
    <row r="553" spans="1:16" x14ac:dyDescent="0.25">
      <c r="A553" t="s">
        <v>589</v>
      </c>
      <c r="B553" s="1">
        <v>45701</v>
      </c>
      <c r="C553" t="s">
        <v>25</v>
      </c>
      <c r="D553" t="s">
        <v>55</v>
      </c>
      <c r="E553" t="s">
        <v>18</v>
      </c>
      <c r="F553" t="s">
        <v>28</v>
      </c>
      <c r="G553" t="s">
        <v>20</v>
      </c>
      <c r="H553">
        <v>217.48</v>
      </c>
      <c r="I553">
        <v>8</v>
      </c>
      <c r="J553">
        <v>1739.84</v>
      </c>
      <c r="K553" t="str">
        <f t="shared" si="40"/>
        <v>Feb</v>
      </c>
      <c r="L553" t="str">
        <f t="shared" si="41"/>
        <v>Low</v>
      </c>
      <c r="M553" t="str">
        <f t="shared" si="42"/>
        <v>Good</v>
      </c>
      <c r="N553">
        <f t="shared" si="44"/>
        <v>-282.32000000000016</v>
      </c>
      <c r="O553" s="6">
        <v>0.1</v>
      </c>
      <c r="P553">
        <f t="shared" si="43"/>
        <v>1565.856</v>
      </c>
    </row>
    <row r="554" spans="1:16" x14ac:dyDescent="0.25">
      <c r="A554" t="s">
        <v>590</v>
      </c>
      <c r="B554" s="1">
        <v>45803</v>
      </c>
      <c r="C554" t="s">
        <v>17</v>
      </c>
      <c r="D554" t="s">
        <v>35</v>
      </c>
      <c r="E554" t="s">
        <v>23</v>
      </c>
      <c r="F554" t="s">
        <v>42</v>
      </c>
      <c r="G554" t="s">
        <v>20</v>
      </c>
      <c r="H554">
        <v>151.41999999999999</v>
      </c>
      <c r="I554">
        <v>1</v>
      </c>
      <c r="J554">
        <v>151.41999999999999</v>
      </c>
      <c r="K554" t="str">
        <f t="shared" si="40"/>
        <v>May</v>
      </c>
      <c r="L554" t="str">
        <f t="shared" si="41"/>
        <v>Low</v>
      </c>
      <c r="M554" t="str">
        <f t="shared" si="42"/>
        <v>Low</v>
      </c>
      <c r="N554">
        <f t="shared" si="44"/>
        <v>-1588.4199999999998</v>
      </c>
      <c r="O554" s="6">
        <v>0.1</v>
      </c>
      <c r="P554">
        <f t="shared" si="43"/>
        <v>136.27799999999999</v>
      </c>
    </row>
    <row r="555" spans="1:16" x14ac:dyDescent="0.25">
      <c r="A555" t="s">
        <v>591</v>
      </c>
      <c r="B555" s="1">
        <v>45918</v>
      </c>
      <c r="C555" t="s">
        <v>17</v>
      </c>
      <c r="D555" t="s">
        <v>31</v>
      </c>
      <c r="E555" t="s">
        <v>13</v>
      </c>
      <c r="F555" t="s">
        <v>28</v>
      </c>
      <c r="G555" t="s">
        <v>15</v>
      </c>
      <c r="H555">
        <v>153.41</v>
      </c>
      <c r="I555">
        <v>7</v>
      </c>
      <c r="J555">
        <v>1073.8699999999999</v>
      </c>
      <c r="K555" t="str">
        <f t="shared" si="40"/>
        <v>Sep</v>
      </c>
      <c r="L555" t="str">
        <f t="shared" si="41"/>
        <v>Low</v>
      </c>
      <c r="M555" t="str">
        <f t="shared" si="42"/>
        <v>Average</v>
      </c>
      <c r="N555">
        <f t="shared" si="44"/>
        <v>922.44999999999993</v>
      </c>
      <c r="O555" s="6">
        <v>0.1</v>
      </c>
      <c r="P555">
        <f t="shared" si="43"/>
        <v>966.48299999999995</v>
      </c>
    </row>
    <row r="556" spans="1:16" x14ac:dyDescent="0.25">
      <c r="A556" t="s">
        <v>592</v>
      </c>
      <c r="B556" s="1">
        <v>45780</v>
      </c>
      <c r="C556" t="s">
        <v>38</v>
      </c>
      <c r="D556" t="s">
        <v>22</v>
      </c>
      <c r="E556" t="s">
        <v>23</v>
      </c>
      <c r="F556" t="s">
        <v>61</v>
      </c>
      <c r="G556" t="s">
        <v>20</v>
      </c>
      <c r="H556">
        <v>222.86</v>
      </c>
      <c r="I556">
        <v>16</v>
      </c>
      <c r="J556">
        <v>3565.76</v>
      </c>
      <c r="K556" t="str">
        <f t="shared" si="40"/>
        <v>May</v>
      </c>
      <c r="L556" t="str">
        <f t="shared" si="41"/>
        <v>High</v>
      </c>
      <c r="M556" t="str">
        <f t="shared" si="42"/>
        <v>Excellent</v>
      </c>
      <c r="N556">
        <f t="shared" si="44"/>
        <v>2491.8900000000003</v>
      </c>
      <c r="O556" s="6">
        <v>0.1</v>
      </c>
      <c r="P556">
        <f t="shared" si="43"/>
        <v>3209.1840000000002</v>
      </c>
    </row>
    <row r="557" spans="1:16" x14ac:dyDescent="0.25">
      <c r="A557" t="s">
        <v>593</v>
      </c>
      <c r="B557" s="1">
        <v>45962</v>
      </c>
      <c r="C557" t="s">
        <v>25</v>
      </c>
      <c r="D557" t="s">
        <v>22</v>
      </c>
      <c r="E557" t="s">
        <v>13</v>
      </c>
      <c r="F557" t="s">
        <v>32</v>
      </c>
      <c r="G557" t="s">
        <v>15</v>
      </c>
      <c r="H557">
        <v>118.77</v>
      </c>
      <c r="I557">
        <v>3</v>
      </c>
      <c r="J557">
        <v>356.31</v>
      </c>
      <c r="K557" t="str">
        <f t="shared" si="40"/>
        <v>Nov</v>
      </c>
      <c r="L557" t="str">
        <f t="shared" si="41"/>
        <v>Low</v>
      </c>
      <c r="M557" t="str">
        <f t="shared" si="42"/>
        <v>Low</v>
      </c>
      <c r="N557">
        <f t="shared" si="44"/>
        <v>-3209.4500000000003</v>
      </c>
      <c r="O557" s="6">
        <v>0.1</v>
      </c>
      <c r="P557">
        <f t="shared" si="43"/>
        <v>320.67900000000003</v>
      </c>
    </row>
    <row r="558" spans="1:16" x14ac:dyDescent="0.25">
      <c r="A558" t="s">
        <v>594</v>
      </c>
      <c r="B558" s="1">
        <v>45856</v>
      </c>
      <c r="C558" t="s">
        <v>38</v>
      </c>
      <c r="D558" t="s">
        <v>35</v>
      </c>
      <c r="E558" t="s">
        <v>18</v>
      </c>
      <c r="F558" t="s">
        <v>28</v>
      </c>
      <c r="G558" t="s">
        <v>15</v>
      </c>
      <c r="H558">
        <v>59.48</v>
      </c>
      <c r="I558">
        <v>19</v>
      </c>
      <c r="J558">
        <v>1130.1199999999999</v>
      </c>
      <c r="K558" t="str">
        <f t="shared" si="40"/>
        <v>Jul</v>
      </c>
      <c r="L558" t="str">
        <f t="shared" si="41"/>
        <v>Low</v>
      </c>
      <c r="M558" t="str">
        <f t="shared" si="42"/>
        <v>Average</v>
      </c>
      <c r="N558">
        <f t="shared" si="44"/>
        <v>773.81</v>
      </c>
      <c r="O558" s="6">
        <v>0.1</v>
      </c>
      <c r="P558">
        <f t="shared" si="43"/>
        <v>1017.1079999999999</v>
      </c>
    </row>
    <row r="559" spans="1:16" x14ac:dyDescent="0.25">
      <c r="A559" t="s">
        <v>595</v>
      </c>
      <c r="B559" s="1">
        <v>45899</v>
      </c>
      <c r="C559" t="s">
        <v>11</v>
      </c>
      <c r="D559" t="s">
        <v>55</v>
      </c>
      <c r="E559" t="s">
        <v>45</v>
      </c>
      <c r="F559" t="s">
        <v>19</v>
      </c>
      <c r="G559" t="s">
        <v>36</v>
      </c>
      <c r="H559">
        <v>36.33</v>
      </c>
      <c r="I559">
        <v>3</v>
      </c>
      <c r="J559">
        <v>108.99</v>
      </c>
      <c r="K559" t="str">
        <f t="shared" si="40"/>
        <v>Aug</v>
      </c>
      <c r="L559" t="str">
        <f t="shared" si="41"/>
        <v>Low</v>
      </c>
      <c r="M559" t="str">
        <f t="shared" si="42"/>
        <v>Low</v>
      </c>
      <c r="N559">
        <f t="shared" si="44"/>
        <v>-1021.1299999999999</v>
      </c>
      <c r="O559" s="6">
        <v>0.1</v>
      </c>
      <c r="P559">
        <f t="shared" si="43"/>
        <v>98.090999999999994</v>
      </c>
    </row>
    <row r="560" spans="1:16" x14ac:dyDescent="0.25">
      <c r="A560" t="s">
        <v>596</v>
      </c>
      <c r="B560" s="1">
        <v>45768</v>
      </c>
      <c r="C560" t="s">
        <v>11</v>
      </c>
      <c r="D560" t="s">
        <v>31</v>
      </c>
      <c r="E560" t="s">
        <v>18</v>
      </c>
      <c r="F560" t="s">
        <v>32</v>
      </c>
      <c r="G560" t="s">
        <v>20</v>
      </c>
      <c r="H560">
        <v>196.13</v>
      </c>
      <c r="I560">
        <v>2</v>
      </c>
      <c r="J560">
        <v>392.26</v>
      </c>
      <c r="K560" t="str">
        <f t="shared" si="40"/>
        <v>Apr</v>
      </c>
      <c r="L560" t="str">
        <f t="shared" si="41"/>
        <v>Low</v>
      </c>
      <c r="M560" t="str">
        <f t="shared" si="42"/>
        <v>Low</v>
      </c>
      <c r="N560">
        <f t="shared" si="44"/>
        <v>283.27</v>
      </c>
      <c r="O560" s="6">
        <v>0.1</v>
      </c>
      <c r="P560">
        <f t="shared" si="43"/>
        <v>353.03399999999999</v>
      </c>
    </row>
    <row r="561" spans="1:16" x14ac:dyDescent="0.25">
      <c r="A561" t="s">
        <v>597</v>
      </c>
      <c r="B561" s="1">
        <v>46022</v>
      </c>
      <c r="C561" t="s">
        <v>38</v>
      </c>
      <c r="D561" t="s">
        <v>31</v>
      </c>
      <c r="E561" t="s">
        <v>27</v>
      </c>
      <c r="F561" t="s">
        <v>61</v>
      </c>
      <c r="G561" t="s">
        <v>15</v>
      </c>
      <c r="H561">
        <v>166.47</v>
      </c>
      <c r="I561">
        <v>17</v>
      </c>
      <c r="J561">
        <v>2829.99</v>
      </c>
      <c r="K561" t="str">
        <f t="shared" si="40"/>
        <v>Dec</v>
      </c>
      <c r="L561" t="str">
        <f t="shared" si="41"/>
        <v>High</v>
      </c>
      <c r="M561" t="str">
        <f t="shared" si="42"/>
        <v>Good</v>
      </c>
      <c r="N561">
        <f t="shared" si="44"/>
        <v>2437.7299999999996</v>
      </c>
      <c r="O561" s="6">
        <v>0.1</v>
      </c>
      <c r="P561">
        <f t="shared" si="43"/>
        <v>2546.991</v>
      </c>
    </row>
    <row r="562" spans="1:16" x14ac:dyDescent="0.25">
      <c r="A562" t="s">
        <v>598</v>
      </c>
      <c r="B562" s="1">
        <v>45985</v>
      </c>
      <c r="C562" t="s">
        <v>25</v>
      </c>
      <c r="D562" t="s">
        <v>55</v>
      </c>
      <c r="E562" t="s">
        <v>23</v>
      </c>
      <c r="F562" t="s">
        <v>32</v>
      </c>
      <c r="G562" t="s">
        <v>15</v>
      </c>
      <c r="H562">
        <v>184.9</v>
      </c>
      <c r="I562">
        <v>18</v>
      </c>
      <c r="J562">
        <v>3328.2</v>
      </c>
      <c r="K562" t="str">
        <f t="shared" si="40"/>
        <v>Nov</v>
      </c>
      <c r="L562" t="str">
        <f t="shared" si="41"/>
        <v>High</v>
      </c>
      <c r="M562" t="str">
        <f t="shared" si="42"/>
        <v>Excellent</v>
      </c>
      <c r="N562">
        <f t="shared" si="44"/>
        <v>498.21000000000004</v>
      </c>
      <c r="O562" s="6">
        <v>0.1</v>
      </c>
      <c r="P562">
        <f t="shared" si="43"/>
        <v>2995.38</v>
      </c>
    </row>
    <row r="563" spans="1:16" x14ac:dyDescent="0.25">
      <c r="A563" t="s">
        <v>599</v>
      </c>
      <c r="B563" s="1">
        <v>45816</v>
      </c>
      <c r="C563" t="s">
        <v>25</v>
      </c>
      <c r="D563" t="s">
        <v>26</v>
      </c>
      <c r="E563" t="s">
        <v>23</v>
      </c>
      <c r="F563" t="s">
        <v>42</v>
      </c>
      <c r="G563" t="s">
        <v>36</v>
      </c>
      <c r="H563">
        <v>76.849999999999994</v>
      </c>
      <c r="I563">
        <v>3</v>
      </c>
      <c r="J563">
        <v>230.55</v>
      </c>
      <c r="K563" t="str">
        <f t="shared" si="40"/>
        <v>Jun</v>
      </c>
      <c r="L563" t="str">
        <f t="shared" si="41"/>
        <v>Low</v>
      </c>
      <c r="M563" t="str">
        <f t="shared" si="42"/>
        <v>Low</v>
      </c>
      <c r="N563">
        <f t="shared" si="44"/>
        <v>-3097.6499999999996</v>
      </c>
      <c r="O563" s="6">
        <v>0.1</v>
      </c>
      <c r="P563">
        <f t="shared" si="43"/>
        <v>207.495</v>
      </c>
    </row>
    <row r="564" spans="1:16" x14ac:dyDescent="0.25">
      <c r="A564" t="s">
        <v>600</v>
      </c>
      <c r="B564" s="1">
        <v>45858</v>
      </c>
      <c r="C564" t="s">
        <v>17</v>
      </c>
      <c r="D564" t="s">
        <v>12</v>
      </c>
      <c r="E564" t="s">
        <v>27</v>
      </c>
      <c r="F564" t="s">
        <v>28</v>
      </c>
      <c r="G564" t="s">
        <v>15</v>
      </c>
      <c r="H564">
        <v>60</v>
      </c>
      <c r="I564">
        <v>19</v>
      </c>
      <c r="J564">
        <v>1140</v>
      </c>
      <c r="K564" t="str">
        <f t="shared" si="40"/>
        <v>Jul</v>
      </c>
      <c r="L564" t="str">
        <f t="shared" si="41"/>
        <v>Low</v>
      </c>
      <c r="M564" t="str">
        <f t="shared" si="42"/>
        <v>Average</v>
      </c>
      <c r="N564">
        <f t="shared" si="44"/>
        <v>909.45</v>
      </c>
      <c r="O564" s="6">
        <v>0.1</v>
      </c>
      <c r="P564">
        <f t="shared" si="43"/>
        <v>1026</v>
      </c>
    </row>
    <row r="565" spans="1:16" x14ac:dyDescent="0.25">
      <c r="A565" t="s">
        <v>601</v>
      </c>
      <c r="B565" s="1">
        <v>45816</v>
      </c>
      <c r="C565" t="s">
        <v>17</v>
      </c>
      <c r="D565" t="s">
        <v>26</v>
      </c>
      <c r="E565" t="s">
        <v>45</v>
      </c>
      <c r="F565" t="s">
        <v>14</v>
      </c>
      <c r="G565" t="s">
        <v>15</v>
      </c>
      <c r="H565">
        <v>33.200000000000003</v>
      </c>
      <c r="I565">
        <v>14</v>
      </c>
      <c r="J565">
        <v>464.8</v>
      </c>
      <c r="K565" t="str">
        <f t="shared" si="40"/>
        <v>Jun</v>
      </c>
      <c r="L565" t="str">
        <f t="shared" si="41"/>
        <v>Low</v>
      </c>
      <c r="M565" t="str">
        <f t="shared" si="42"/>
        <v>Low</v>
      </c>
      <c r="N565">
        <f t="shared" si="44"/>
        <v>-675.2</v>
      </c>
      <c r="O565" s="6">
        <v>0.1</v>
      </c>
      <c r="P565">
        <f t="shared" si="43"/>
        <v>418.32</v>
      </c>
    </row>
    <row r="566" spans="1:16" x14ac:dyDescent="0.25">
      <c r="A566" t="s">
        <v>602</v>
      </c>
      <c r="B566" s="1">
        <v>45880</v>
      </c>
      <c r="C566" t="s">
        <v>38</v>
      </c>
      <c r="D566" t="s">
        <v>55</v>
      </c>
      <c r="E566" t="s">
        <v>18</v>
      </c>
      <c r="F566" t="s">
        <v>19</v>
      </c>
      <c r="G566" t="s">
        <v>36</v>
      </c>
      <c r="H566">
        <v>107.13</v>
      </c>
      <c r="I566">
        <v>4</v>
      </c>
      <c r="J566">
        <v>428.52</v>
      </c>
      <c r="K566" t="str">
        <f t="shared" si="40"/>
        <v>Aug</v>
      </c>
      <c r="L566" t="str">
        <f t="shared" si="41"/>
        <v>Low</v>
      </c>
      <c r="M566" t="str">
        <f t="shared" si="42"/>
        <v>Low</v>
      </c>
      <c r="N566">
        <f t="shared" si="44"/>
        <v>-36.28000000000003</v>
      </c>
      <c r="O566" s="6">
        <v>0.1</v>
      </c>
      <c r="P566">
        <f t="shared" si="43"/>
        <v>385.66800000000001</v>
      </c>
    </row>
    <row r="567" spans="1:16" x14ac:dyDescent="0.25">
      <c r="A567" t="s">
        <v>603</v>
      </c>
      <c r="B567" s="1">
        <v>45999</v>
      </c>
      <c r="C567" t="s">
        <v>11</v>
      </c>
      <c r="D567" t="s">
        <v>22</v>
      </c>
      <c r="E567" t="s">
        <v>27</v>
      </c>
      <c r="F567" t="s">
        <v>14</v>
      </c>
      <c r="G567" t="s">
        <v>20</v>
      </c>
      <c r="H567">
        <v>159.78</v>
      </c>
      <c r="I567">
        <v>6</v>
      </c>
      <c r="J567">
        <v>958.68</v>
      </c>
      <c r="K567" t="str">
        <f t="shared" si="40"/>
        <v>Dec</v>
      </c>
      <c r="L567" t="str">
        <f t="shared" si="41"/>
        <v>Low</v>
      </c>
      <c r="M567" t="str">
        <f t="shared" si="42"/>
        <v>Average</v>
      </c>
      <c r="N567">
        <f t="shared" si="44"/>
        <v>530.16</v>
      </c>
      <c r="O567" s="6">
        <v>0.1</v>
      </c>
      <c r="P567">
        <f t="shared" si="43"/>
        <v>862.81200000000001</v>
      </c>
    </row>
    <row r="568" spans="1:16" x14ac:dyDescent="0.25">
      <c r="A568" t="s">
        <v>604</v>
      </c>
      <c r="B568" s="1">
        <v>45663</v>
      </c>
      <c r="C568" t="s">
        <v>38</v>
      </c>
      <c r="D568" t="s">
        <v>35</v>
      </c>
      <c r="E568" t="s">
        <v>18</v>
      </c>
      <c r="F568" t="s">
        <v>42</v>
      </c>
      <c r="G568" t="s">
        <v>20</v>
      </c>
      <c r="H568">
        <v>116.29</v>
      </c>
      <c r="I568">
        <v>6</v>
      </c>
      <c r="J568">
        <v>697.74</v>
      </c>
      <c r="K568" t="str">
        <f t="shared" si="40"/>
        <v>Jan</v>
      </c>
      <c r="L568" t="str">
        <f t="shared" si="41"/>
        <v>Low</v>
      </c>
      <c r="M568" t="str">
        <f t="shared" si="42"/>
        <v>Average</v>
      </c>
      <c r="N568">
        <f t="shared" si="44"/>
        <v>-260.93999999999994</v>
      </c>
      <c r="O568" s="6">
        <v>0.1</v>
      </c>
      <c r="P568">
        <f t="shared" si="43"/>
        <v>627.96600000000001</v>
      </c>
    </row>
    <row r="569" spans="1:16" x14ac:dyDescent="0.25">
      <c r="A569" t="s">
        <v>605</v>
      </c>
      <c r="B569" s="1">
        <v>45790</v>
      </c>
      <c r="C569" t="s">
        <v>34</v>
      </c>
      <c r="D569" t="s">
        <v>26</v>
      </c>
      <c r="E569" t="s">
        <v>27</v>
      </c>
      <c r="F569" t="s">
        <v>39</v>
      </c>
      <c r="G569" t="s">
        <v>36</v>
      </c>
      <c r="H569">
        <v>126.24</v>
      </c>
      <c r="I569">
        <v>6</v>
      </c>
      <c r="J569">
        <v>757.44</v>
      </c>
      <c r="K569" t="str">
        <f t="shared" si="40"/>
        <v>May</v>
      </c>
      <c r="L569" t="str">
        <f t="shared" si="41"/>
        <v>Low</v>
      </c>
      <c r="M569" t="str">
        <f t="shared" si="42"/>
        <v>Average</v>
      </c>
      <c r="N569">
        <f t="shared" si="44"/>
        <v>59.700000000000045</v>
      </c>
      <c r="O569" s="6">
        <v>0.1</v>
      </c>
      <c r="P569">
        <f t="shared" si="43"/>
        <v>681.69600000000003</v>
      </c>
    </row>
    <row r="570" spans="1:16" x14ac:dyDescent="0.25">
      <c r="A570" t="s">
        <v>606</v>
      </c>
      <c r="B570" s="1">
        <v>45718</v>
      </c>
      <c r="C570" t="s">
        <v>34</v>
      </c>
      <c r="D570" t="s">
        <v>31</v>
      </c>
      <c r="E570" t="s">
        <v>13</v>
      </c>
      <c r="F570" t="s">
        <v>42</v>
      </c>
      <c r="G570" t="s">
        <v>15</v>
      </c>
      <c r="H570">
        <v>228.91</v>
      </c>
      <c r="I570">
        <v>1</v>
      </c>
      <c r="J570">
        <v>228.91</v>
      </c>
      <c r="K570" t="str">
        <f t="shared" si="40"/>
        <v>Mar</v>
      </c>
      <c r="L570" t="str">
        <f t="shared" si="41"/>
        <v>Low</v>
      </c>
      <c r="M570" t="str">
        <f t="shared" si="42"/>
        <v>Low</v>
      </c>
      <c r="N570">
        <f t="shared" si="44"/>
        <v>-528.53000000000009</v>
      </c>
      <c r="O570" s="6">
        <v>0.1</v>
      </c>
      <c r="P570">
        <f t="shared" si="43"/>
        <v>206.01900000000001</v>
      </c>
    </row>
    <row r="571" spans="1:16" x14ac:dyDescent="0.25">
      <c r="A571" t="s">
        <v>607</v>
      </c>
      <c r="B571" s="1">
        <v>45792</v>
      </c>
      <c r="C571" t="s">
        <v>17</v>
      </c>
      <c r="D571" t="s">
        <v>22</v>
      </c>
      <c r="E571" t="s">
        <v>41</v>
      </c>
      <c r="F571" t="s">
        <v>61</v>
      </c>
      <c r="G571" t="s">
        <v>20</v>
      </c>
      <c r="H571">
        <v>106.62</v>
      </c>
      <c r="I571">
        <v>19</v>
      </c>
      <c r="J571">
        <v>2025.78</v>
      </c>
      <c r="K571" t="str">
        <f t="shared" si="40"/>
        <v>May</v>
      </c>
      <c r="L571" t="str">
        <f t="shared" si="41"/>
        <v>High</v>
      </c>
      <c r="M571" t="str">
        <f t="shared" si="42"/>
        <v>Good</v>
      </c>
      <c r="N571">
        <f t="shared" si="44"/>
        <v>1796.87</v>
      </c>
      <c r="O571" s="6">
        <v>0.1</v>
      </c>
      <c r="P571">
        <f t="shared" si="43"/>
        <v>1823.202</v>
      </c>
    </row>
    <row r="572" spans="1:16" x14ac:dyDescent="0.25">
      <c r="A572" t="s">
        <v>608</v>
      </c>
      <c r="B572" s="1">
        <v>45842</v>
      </c>
      <c r="C572" t="s">
        <v>38</v>
      </c>
      <c r="D572" t="s">
        <v>55</v>
      </c>
      <c r="E572" t="s">
        <v>23</v>
      </c>
      <c r="F572" t="s">
        <v>32</v>
      </c>
      <c r="G572" t="s">
        <v>15</v>
      </c>
      <c r="H572">
        <v>143.08000000000001</v>
      </c>
      <c r="I572">
        <v>2</v>
      </c>
      <c r="J572">
        <v>286.16000000000003</v>
      </c>
      <c r="K572" t="str">
        <f t="shared" si="40"/>
        <v>Jul</v>
      </c>
      <c r="L572" t="str">
        <f t="shared" si="41"/>
        <v>Low</v>
      </c>
      <c r="M572" t="str">
        <f t="shared" si="42"/>
        <v>Low</v>
      </c>
      <c r="N572">
        <f t="shared" si="44"/>
        <v>-1739.62</v>
      </c>
      <c r="O572" s="6">
        <v>0.1</v>
      </c>
      <c r="P572">
        <f t="shared" si="43"/>
        <v>257.54400000000004</v>
      </c>
    </row>
    <row r="573" spans="1:16" x14ac:dyDescent="0.25">
      <c r="A573" t="s">
        <v>609</v>
      </c>
      <c r="B573" s="1">
        <v>45788</v>
      </c>
      <c r="C573" t="s">
        <v>25</v>
      </c>
      <c r="D573" t="s">
        <v>12</v>
      </c>
      <c r="E573" t="s">
        <v>27</v>
      </c>
      <c r="F573" t="s">
        <v>19</v>
      </c>
      <c r="G573" t="s">
        <v>15</v>
      </c>
      <c r="H573">
        <v>202.4</v>
      </c>
      <c r="I573">
        <v>4</v>
      </c>
      <c r="J573">
        <v>809.6</v>
      </c>
      <c r="K573" t="str">
        <f t="shared" si="40"/>
        <v>May</v>
      </c>
      <c r="L573" t="str">
        <f t="shared" si="41"/>
        <v>Low</v>
      </c>
      <c r="M573" t="str">
        <f t="shared" si="42"/>
        <v>Average</v>
      </c>
      <c r="N573">
        <f t="shared" si="44"/>
        <v>523.44000000000005</v>
      </c>
      <c r="O573" s="6">
        <v>0.1</v>
      </c>
      <c r="P573">
        <f t="shared" si="43"/>
        <v>728.64</v>
      </c>
    </row>
    <row r="574" spans="1:16" x14ac:dyDescent="0.25">
      <c r="A574" t="s">
        <v>610</v>
      </c>
      <c r="B574" s="1">
        <v>45918</v>
      </c>
      <c r="C574" t="s">
        <v>11</v>
      </c>
      <c r="D574" t="s">
        <v>22</v>
      </c>
      <c r="E574" t="s">
        <v>23</v>
      </c>
      <c r="F574" t="s">
        <v>19</v>
      </c>
      <c r="G574" t="s">
        <v>36</v>
      </c>
      <c r="H574">
        <v>117.24</v>
      </c>
      <c r="I574">
        <v>1</v>
      </c>
      <c r="J574">
        <v>117.24</v>
      </c>
      <c r="K574" t="str">
        <f t="shared" si="40"/>
        <v>Sep</v>
      </c>
      <c r="L574" t="str">
        <f t="shared" si="41"/>
        <v>Low</v>
      </c>
      <c r="M574" t="str">
        <f t="shared" si="42"/>
        <v>Low</v>
      </c>
      <c r="N574">
        <f t="shared" si="44"/>
        <v>-692.36</v>
      </c>
      <c r="O574" s="6">
        <v>0.1</v>
      </c>
      <c r="P574">
        <f t="shared" si="43"/>
        <v>105.51599999999999</v>
      </c>
    </row>
    <row r="575" spans="1:16" x14ac:dyDescent="0.25">
      <c r="A575" t="s">
        <v>611</v>
      </c>
      <c r="B575" s="1">
        <v>45844</v>
      </c>
      <c r="C575" t="s">
        <v>30</v>
      </c>
      <c r="D575" t="s">
        <v>26</v>
      </c>
      <c r="E575" t="s">
        <v>45</v>
      </c>
      <c r="F575" t="s">
        <v>42</v>
      </c>
      <c r="G575" t="s">
        <v>20</v>
      </c>
      <c r="H575">
        <v>166.86</v>
      </c>
      <c r="I575">
        <v>13</v>
      </c>
      <c r="J575">
        <v>2169.1799999999998</v>
      </c>
      <c r="K575" t="str">
        <f t="shared" si="40"/>
        <v>Jul</v>
      </c>
      <c r="L575" t="str">
        <f t="shared" si="41"/>
        <v>High</v>
      </c>
      <c r="M575" t="str">
        <f t="shared" si="42"/>
        <v>Good</v>
      </c>
      <c r="N575">
        <f t="shared" si="44"/>
        <v>2051.94</v>
      </c>
      <c r="O575" s="6">
        <v>0.1</v>
      </c>
      <c r="P575">
        <f t="shared" si="43"/>
        <v>1952.2619999999999</v>
      </c>
    </row>
    <row r="576" spans="1:16" x14ac:dyDescent="0.25">
      <c r="A576" t="s">
        <v>612</v>
      </c>
      <c r="B576" s="1">
        <v>45993</v>
      </c>
      <c r="C576" t="s">
        <v>30</v>
      </c>
      <c r="D576" t="s">
        <v>35</v>
      </c>
      <c r="E576" t="s">
        <v>23</v>
      </c>
      <c r="F576" t="s">
        <v>61</v>
      </c>
      <c r="G576" t="s">
        <v>20</v>
      </c>
      <c r="H576">
        <v>219.72</v>
      </c>
      <c r="I576">
        <v>14</v>
      </c>
      <c r="J576">
        <v>3076.08</v>
      </c>
      <c r="K576" t="str">
        <f t="shared" si="40"/>
        <v>Dec</v>
      </c>
      <c r="L576" t="str">
        <f t="shared" si="41"/>
        <v>High</v>
      </c>
      <c r="M576" t="str">
        <f t="shared" si="42"/>
        <v>Excellent</v>
      </c>
      <c r="N576">
        <f t="shared" si="44"/>
        <v>906.90000000000009</v>
      </c>
      <c r="O576" s="6">
        <v>0.1</v>
      </c>
      <c r="P576">
        <f t="shared" si="43"/>
        <v>2768.4720000000002</v>
      </c>
    </row>
    <row r="577" spans="1:16" x14ac:dyDescent="0.25">
      <c r="A577" t="s">
        <v>613</v>
      </c>
      <c r="B577" s="1">
        <v>45821</v>
      </c>
      <c r="C577" t="s">
        <v>11</v>
      </c>
      <c r="D577" t="s">
        <v>55</v>
      </c>
      <c r="E577" t="s">
        <v>13</v>
      </c>
      <c r="F577" t="s">
        <v>19</v>
      </c>
      <c r="G577" t="s">
        <v>20</v>
      </c>
      <c r="H577">
        <v>238.89</v>
      </c>
      <c r="I577">
        <v>9</v>
      </c>
      <c r="J577">
        <v>2150.0100000000002</v>
      </c>
      <c r="K577" t="str">
        <f t="shared" si="40"/>
        <v>Jun</v>
      </c>
      <c r="L577" t="str">
        <f t="shared" si="41"/>
        <v>High</v>
      </c>
      <c r="M577" t="str">
        <f t="shared" si="42"/>
        <v>Good</v>
      </c>
      <c r="N577">
        <f t="shared" si="44"/>
        <v>-926.06999999999971</v>
      </c>
      <c r="O577" s="6">
        <v>0.1</v>
      </c>
      <c r="P577">
        <f t="shared" si="43"/>
        <v>1935.0090000000002</v>
      </c>
    </row>
    <row r="578" spans="1:16" x14ac:dyDescent="0.25">
      <c r="A578" t="s">
        <v>614</v>
      </c>
      <c r="B578" s="1">
        <v>46002</v>
      </c>
      <c r="C578" t="s">
        <v>30</v>
      </c>
      <c r="D578" t="s">
        <v>26</v>
      </c>
      <c r="E578" t="s">
        <v>18</v>
      </c>
      <c r="F578" t="s">
        <v>19</v>
      </c>
      <c r="G578" t="s">
        <v>36</v>
      </c>
      <c r="H578">
        <v>62.36</v>
      </c>
      <c r="I578">
        <v>2</v>
      </c>
      <c r="J578">
        <v>124.72</v>
      </c>
      <c r="K578" t="str">
        <f t="shared" ref="K578:K641" si="45">TEXT(B578,"MMM")</f>
        <v>Dec</v>
      </c>
      <c r="L578" t="str">
        <f t="shared" ref="L578:L641" si="46">IF(J578&gt;2000,"High","Low")</f>
        <v>Low</v>
      </c>
      <c r="M578" t="str">
        <f t="shared" ref="M578:M641" si="47">IF(J578&gt;3000,"Excellent",
 IF(J578&gt;1500,"Good",
 IF(J578&gt;500,"Average","Low")))</f>
        <v>Low</v>
      </c>
      <c r="N578">
        <f t="shared" si="44"/>
        <v>-2025.2900000000002</v>
      </c>
      <c r="O578" s="6">
        <v>0.1</v>
      </c>
      <c r="P578">
        <f t="shared" ref="P578:P641" si="48">J578*(1-O578)</f>
        <v>112.248</v>
      </c>
    </row>
    <row r="579" spans="1:16" x14ac:dyDescent="0.25">
      <c r="A579" t="s">
        <v>615</v>
      </c>
      <c r="B579" s="1">
        <v>45693</v>
      </c>
      <c r="C579" t="s">
        <v>34</v>
      </c>
      <c r="D579" t="s">
        <v>35</v>
      </c>
      <c r="E579" t="s">
        <v>13</v>
      </c>
      <c r="F579" t="s">
        <v>19</v>
      </c>
      <c r="G579" t="s">
        <v>20</v>
      </c>
      <c r="H579">
        <v>233.85</v>
      </c>
      <c r="I579">
        <v>15</v>
      </c>
      <c r="J579">
        <v>3507.75</v>
      </c>
      <c r="K579" t="str">
        <f t="shared" si="45"/>
        <v>Feb</v>
      </c>
      <c r="L579" t="str">
        <f t="shared" si="46"/>
        <v>High</v>
      </c>
      <c r="M579" t="str">
        <f t="shared" si="47"/>
        <v>Excellent</v>
      </c>
      <c r="N579">
        <f t="shared" ref="N579:N642" si="49">J579-J578</f>
        <v>3383.03</v>
      </c>
      <c r="O579" s="6">
        <v>0.1</v>
      </c>
      <c r="P579">
        <f t="shared" si="48"/>
        <v>3156.9749999999999</v>
      </c>
    </row>
    <row r="580" spans="1:16" x14ac:dyDescent="0.25">
      <c r="A580" t="s">
        <v>616</v>
      </c>
      <c r="B580" s="1">
        <v>45891</v>
      </c>
      <c r="C580" t="s">
        <v>34</v>
      </c>
      <c r="D580" t="s">
        <v>26</v>
      </c>
      <c r="E580" t="s">
        <v>13</v>
      </c>
      <c r="F580" t="s">
        <v>42</v>
      </c>
      <c r="G580" t="s">
        <v>36</v>
      </c>
      <c r="H580">
        <v>138.27000000000001</v>
      </c>
      <c r="I580">
        <v>1</v>
      </c>
      <c r="J580">
        <v>138.27000000000001</v>
      </c>
      <c r="K580" t="str">
        <f t="shared" si="45"/>
        <v>Aug</v>
      </c>
      <c r="L580" t="str">
        <f t="shared" si="46"/>
        <v>Low</v>
      </c>
      <c r="M580" t="str">
        <f t="shared" si="47"/>
        <v>Low</v>
      </c>
      <c r="N580">
        <f t="shared" si="49"/>
        <v>-3369.48</v>
      </c>
      <c r="O580" s="6">
        <v>0.1</v>
      </c>
      <c r="P580">
        <f t="shared" si="48"/>
        <v>124.44300000000001</v>
      </c>
    </row>
    <row r="581" spans="1:16" x14ac:dyDescent="0.25">
      <c r="A581" t="s">
        <v>617</v>
      </c>
      <c r="B581" s="1">
        <v>45976</v>
      </c>
      <c r="C581" t="s">
        <v>38</v>
      </c>
      <c r="D581" t="s">
        <v>35</v>
      </c>
      <c r="E581" t="s">
        <v>18</v>
      </c>
      <c r="F581" t="s">
        <v>61</v>
      </c>
      <c r="G581" t="s">
        <v>15</v>
      </c>
      <c r="H581">
        <v>86.81</v>
      </c>
      <c r="I581">
        <v>8</v>
      </c>
      <c r="J581">
        <v>694.48</v>
      </c>
      <c r="K581" t="str">
        <f t="shared" si="45"/>
        <v>Nov</v>
      </c>
      <c r="L581" t="str">
        <f t="shared" si="46"/>
        <v>Low</v>
      </c>
      <c r="M581" t="str">
        <f t="shared" si="47"/>
        <v>Average</v>
      </c>
      <c r="N581">
        <f t="shared" si="49"/>
        <v>556.21</v>
      </c>
      <c r="O581" s="6">
        <v>0.1</v>
      </c>
      <c r="P581">
        <f t="shared" si="48"/>
        <v>625.03200000000004</v>
      </c>
    </row>
    <row r="582" spans="1:16" x14ac:dyDescent="0.25">
      <c r="A582" t="s">
        <v>618</v>
      </c>
      <c r="B582" s="1">
        <v>45937</v>
      </c>
      <c r="C582" t="s">
        <v>30</v>
      </c>
      <c r="D582" t="s">
        <v>22</v>
      </c>
      <c r="E582" t="s">
        <v>41</v>
      </c>
      <c r="F582" t="s">
        <v>19</v>
      </c>
      <c r="G582" t="s">
        <v>15</v>
      </c>
      <c r="H582">
        <v>131.01</v>
      </c>
      <c r="I582">
        <v>8</v>
      </c>
      <c r="J582">
        <v>1048.08</v>
      </c>
      <c r="K582" t="str">
        <f t="shared" si="45"/>
        <v>Oct</v>
      </c>
      <c r="L582" t="str">
        <f t="shared" si="46"/>
        <v>Low</v>
      </c>
      <c r="M582" t="str">
        <f t="shared" si="47"/>
        <v>Average</v>
      </c>
      <c r="N582">
        <f t="shared" si="49"/>
        <v>353.59999999999991</v>
      </c>
      <c r="O582" s="6">
        <v>0.1</v>
      </c>
      <c r="P582">
        <f t="shared" si="48"/>
        <v>943.27199999999993</v>
      </c>
    </row>
    <row r="583" spans="1:16" x14ac:dyDescent="0.25">
      <c r="A583" t="s">
        <v>619</v>
      </c>
      <c r="B583" s="1">
        <v>45935</v>
      </c>
      <c r="C583" t="s">
        <v>17</v>
      </c>
      <c r="D583" t="s">
        <v>12</v>
      </c>
      <c r="E583" t="s">
        <v>45</v>
      </c>
      <c r="F583" t="s">
        <v>32</v>
      </c>
      <c r="G583" t="s">
        <v>15</v>
      </c>
      <c r="H583">
        <v>245.61</v>
      </c>
      <c r="I583">
        <v>12</v>
      </c>
      <c r="J583">
        <v>2947.32</v>
      </c>
      <c r="K583" t="str">
        <f t="shared" si="45"/>
        <v>Oct</v>
      </c>
      <c r="L583" t="str">
        <f t="shared" si="46"/>
        <v>High</v>
      </c>
      <c r="M583" t="str">
        <f t="shared" si="47"/>
        <v>Good</v>
      </c>
      <c r="N583">
        <f t="shared" si="49"/>
        <v>1899.2400000000002</v>
      </c>
      <c r="O583" s="6">
        <v>0.1</v>
      </c>
      <c r="P583">
        <f t="shared" si="48"/>
        <v>2652.5880000000002</v>
      </c>
    </row>
    <row r="584" spans="1:16" x14ac:dyDescent="0.25">
      <c r="A584" t="s">
        <v>620</v>
      </c>
      <c r="B584" s="1">
        <v>45994</v>
      </c>
      <c r="C584" t="s">
        <v>17</v>
      </c>
      <c r="D584" t="s">
        <v>12</v>
      </c>
      <c r="E584" t="s">
        <v>13</v>
      </c>
      <c r="F584" t="s">
        <v>19</v>
      </c>
      <c r="G584" t="s">
        <v>15</v>
      </c>
      <c r="H584">
        <v>138.38</v>
      </c>
      <c r="I584">
        <v>13</v>
      </c>
      <c r="J584">
        <v>1798.94</v>
      </c>
      <c r="K584" t="str">
        <f t="shared" si="45"/>
        <v>Dec</v>
      </c>
      <c r="L584" t="str">
        <f t="shared" si="46"/>
        <v>Low</v>
      </c>
      <c r="M584" t="str">
        <f t="shared" si="47"/>
        <v>Good</v>
      </c>
      <c r="N584">
        <f t="shared" si="49"/>
        <v>-1148.3800000000001</v>
      </c>
      <c r="O584" s="6">
        <v>0.1</v>
      </c>
      <c r="P584">
        <f t="shared" si="48"/>
        <v>1619.046</v>
      </c>
    </row>
    <row r="585" spans="1:16" x14ac:dyDescent="0.25">
      <c r="A585" t="s">
        <v>621</v>
      </c>
      <c r="B585" s="1">
        <v>45929</v>
      </c>
      <c r="C585" t="s">
        <v>38</v>
      </c>
      <c r="D585" t="s">
        <v>31</v>
      </c>
      <c r="E585" t="s">
        <v>45</v>
      </c>
      <c r="F585" t="s">
        <v>14</v>
      </c>
      <c r="G585" t="s">
        <v>20</v>
      </c>
      <c r="H585">
        <v>102.33</v>
      </c>
      <c r="I585">
        <v>8</v>
      </c>
      <c r="J585">
        <v>818.64</v>
      </c>
      <c r="K585" t="str">
        <f t="shared" si="45"/>
        <v>Sep</v>
      </c>
      <c r="L585" t="str">
        <f t="shared" si="46"/>
        <v>Low</v>
      </c>
      <c r="M585" t="str">
        <f t="shared" si="47"/>
        <v>Average</v>
      </c>
      <c r="N585">
        <f t="shared" si="49"/>
        <v>-980.30000000000007</v>
      </c>
      <c r="O585" s="6">
        <v>0.1</v>
      </c>
      <c r="P585">
        <f t="shared" si="48"/>
        <v>736.77599999999995</v>
      </c>
    </row>
    <row r="586" spans="1:16" x14ac:dyDescent="0.25">
      <c r="A586" t="s">
        <v>622</v>
      </c>
      <c r="B586" s="1">
        <v>45801</v>
      </c>
      <c r="C586" t="s">
        <v>11</v>
      </c>
      <c r="D586" t="s">
        <v>26</v>
      </c>
      <c r="E586" t="s">
        <v>18</v>
      </c>
      <c r="F586" t="s">
        <v>61</v>
      </c>
      <c r="G586" t="s">
        <v>20</v>
      </c>
      <c r="H586">
        <v>169.35</v>
      </c>
      <c r="I586">
        <v>3</v>
      </c>
      <c r="J586">
        <v>508.05</v>
      </c>
      <c r="K586" t="str">
        <f t="shared" si="45"/>
        <v>May</v>
      </c>
      <c r="L586" t="str">
        <f t="shared" si="46"/>
        <v>Low</v>
      </c>
      <c r="M586" t="str">
        <f t="shared" si="47"/>
        <v>Average</v>
      </c>
      <c r="N586">
        <f t="shared" si="49"/>
        <v>-310.58999999999997</v>
      </c>
      <c r="O586" s="6">
        <v>0.1</v>
      </c>
      <c r="P586">
        <f t="shared" si="48"/>
        <v>457.245</v>
      </c>
    </row>
    <row r="587" spans="1:16" x14ac:dyDescent="0.25">
      <c r="A587" t="s">
        <v>623</v>
      </c>
      <c r="B587" s="1">
        <v>45848</v>
      </c>
      <c r="C587" t="s">
        <v>17</v>
      </c>
      <c r="D587" t="s">
        <v>22</v>
      </c>
      <c r="E587" t="s">
        <v>18</v>
      </c>
      <c r="F587" t="s">
        <v>19</v>
      </c>
      <c r="G587" t="s">
        <v>20</v>
      </c>
      <c r="H587">
        <v>82.83</v>
      </c>
      <c r="I587">
        <v>15</v>
      </c>
      <c r="J587">
        <v>1242.45</v>
      </c>
      <c r="K587" t="str">
        <f t="shared" si="45"/>
        <v>Jul</v>
      </c>
      <c r="L587" t="str">
        <f t="shared" si="46"/>
        <v>Low</v>
      </c>
      <c r="M587" t="str">
        <f t="shared" si="47"/>
        <v>Average</v>
      </c>
      <c r="N587">
        <f t="shared" si="49"/>
        <v>734.40000000000009</v>
      </c>
      <c r="O587" s="6">
        <v>0.1</v>
      </c>
      <c r="P587">
        <f t="shared" si="48"/>
        <v>1118.2050000000002</v>
      </c>
    </row>
    <row r="588" spans="1:16" x14ac:dyDescent="0.25">
      <c r="A588" t="s">
        <v>624</v>
      </c>
      <c r="B588" s="1">
        <v>45726</v>
      </c>
      <c r="C588" t="s">
        <v>11</v>
      </c>
      <c r="D588" t="s">
        <v>55</v>
      </c>
      <c r="E588" t="s">
        <v>18</v>
      </c>
      <c r="F588" t="s">
        <v>19</v>
      </c>
      <c r="G588" t="s">
        <v>36</v>
      </c>
      <c r="H588">
        <v>46.69</v>
      </c>
      <c r="I588">
        <v>13</v>
      </c>
      <c r="J588">
        <v>606.97</v>
      </c>
      <c r="K588" t="str">
        <f t="shared" si="45"/>
        <v>Mar</v>
      </c>
      <c r="L588" t="str">
        <f t="shared" si="46"/>
        <v>Low</v>
      </c>
      <c r="M588" t="str">
        <f t="shared" si="47"/>
        <v>Average</v>
      </c>
      <c r="N588">
        <f t="shared" si="49"/>
        <v>-635.48</v>
      </c>
      <c r="O588" s="6">
        <v>0.1</v>
      </c>
      <c r="P588">
        <f t="shared" si="48"/>
        <v>546.27300000000002</v>
      </c>
    </row>
    <row r="589" spans="1:16" x14ac:dyDescent="0.25">
      <c r="A589" t="s">
        <v>625</v>
      </c>
      <c r="B589" s="1">
        <v>45997</v>
      </c>
      <c r="C589" t="s">
        <v>30</v>
      </c>
      <c r="D589" t="s">
        <v>35</v>
      </c>
      <c r="E589" t="s">
        <v>13</v>
      </c>
      <c r="F589" t="s">
        <v>39</v>
      </c>
      <c r="G589" t="s">
        <v>36</v>
      </c>
      <c r="H589">
        <v>58.35</v>
      </c>
      <c r="I589">
        <v>5</v>
      </c>
      <c r="J589">
        <v>291.75</v>
      </c>
      <c r="K589" t="str">
        <f t="shared" si="45"/>
        <v>Dec</v>
      </c>
      <c r="L589" t="str">
        <f t="shared" si="46"/>
        <v>Low</v>
      </c>
      <c r="M589" t="str">
        <f t="shared" si="47"/>
        <v>Low</v>
      </c>
      <c r="N589">
        <f t="shared" si="49"/>
        <v>-315.22000000000003</v>
      </c>
      <c r="O589" s="6">
        <v>0.1</v>
      </c>
      <c r="P589">
        <f t="shared" si="48"/>
        <v>262.57499999999999</v>
      </c>
    </row>
    <row r="590" spans="1:16" x14ac:dyDescent="0.25">
      <c r="A590" t="s">
        <v>626</v>
      </c>
      <c r="B590" s="1">
        <v>45859</v>
      </c>
      <c r="C590" t="s">
        <v>34</v>
      </c>
      <c r="D590" t="s">
        <v>31</v>
      </c>
      <c r="E590" t="s">
        <v>13</v>
      </c>
      <c r="F590" t="s">
        <v>14</v>
      </c>
      <c r="G590" t="s">
        <v>15</v>
      </c>
      <c r="H590">
        <v>58.17</v>
      </c>
      <c r="I590">
        <v>11</v>
      </c>
      <c r="J590">
        <v>639.87</v>
      </c>
      <c r="K590" t="str">
        <f t="shared" si="45"/>
        <v>Jul</v>
      </c>
      <c r="L590" t="str">
        <f t="shared" si="46"/>
        <v>Low</v>
      </c>
      <c r="M590" t="str">
        <f t="shared" si="47"/>
        <v>Average</v>
      </c>
      <c r="N590">
        <f t="shared" si="49"/>
        <v>348.12</v>
      </c>
      <c r="O590" s="6">
        <v>0.1</v>
      </c>
      <c r="P590">
        <f t="shared" si="48"/>
        <v>575.88300000000004</v>
      </c>
    </row>
    <row r="591" spans="1:16" x14ac:dyDescent="0.25">
      <c r="A591" t="s">
        <v>627</v>
      </c>
      <c r="B591" s="1">
        <v>45761</v>
      </c>
      <c r="C591" t="s">
        <v>25</v>
      </c>
      <c r="D591" t="s">
        <v>22</v>
      </c>
      <c r="E591" t="s">
        <v>23</v>
      </c>
      <c r="F591" t="s">
        <v>19</v>
      </c>
      <c r="G591" t="s">
        <v>15</v>
      </c>
      <c r="H591">
        <v>63.42</v>
      </c>
      <c r="I591">
        <v>5</v>
      </c>
      <c r="J591">
        <v>317.10000000000002</v>
      </c>
      <c r="K591" t="str">
        <f t="shared" si="45"/>
        <v>Apr</v>
      </c>
      <c r="L591" t="str">
        <f t="shared" si="46"/>
        <v>Low</v>
      </c>
      <c r="M591" t="str">
        <f t="shared" si="47"/>
        <v>Low</v>
      </c>
      <c r="N591">
        <f t="shared" si="49"/>
        <v>-322.77</v>
      </c>
      <c r="O591" s="6">
        <v>0.1</v>
      </c>
      <c r="P591">
        <f t="shared" si="48"/>
        <v>285.39000000000004</v>
      </c>
    </row>
    <row r="592" spans="1:16" x14ac:dyDescent="0.25">
      <c r="A592" t="s">
        <v>628</v>
      </c>
      <c r="B592" s="1">
        <v>45888</v>
      </c>
      <c r="C592" t="s">
        <v>34</v>
      </c>
      <c r="D592" t="s">
        <v>31</v>
      </c>
      <c r="E592" t="s">
        <v>45</v>
      </c>
      <c r="F592" t="s">
        <v>42</v>
      </c>
      <c r="G592" t="s">
        <v>36</v>
      </c>
      <c r="H592">
        <v>60.54</v>
      </c>
      <c r="I592">
        <v>15</v>
      </c>
      <c r="J592">
        <v>908.1</v>
      </c>
      <c r="K592" t="str">
        <f t="shared" si="45"/>
        <v>Aug</v>
      </c>
      <c r="L592" t="str">
        <f t="shared" si="46"/>
        <v>Low</v>
      </c>
      <c r="M592" t="str">
        <f t="shared" si="47"/>
        <v>Average</v>
      </c>
      <c r="N592">
        <f t="shared" si="49"/>
        <v>591</v>
      </c>
      <c r="O592" s="6">
        <v>0.1</v>
      </c>
      <c r="P592">
        <f t="shared" si="48"/>
        <v>817.29000000000008</v>
      </c>
    </row>
    <row r="593" spans="1:16" x14ac:dyDescent="0.25">
      <c r="A593" t="s">
        <v>629</v>
      </c>
      <c r="B593" s="1">
        <v>45764</v>
      </c>
      <c r="C593" t="s">
        <v>34</v>
      </c>
      <c r="D593" t="s">
        <v>31</v>
      </c>
      <c r="E593" t="s">
        <v>13</v>
      </c>
      <c r="F593" t="s">
        <v>39</v>
      </c>
      <c r="G593" t="s">
        <v>15</v>
      </c>
      <c r="H593">
        <v>170.99</v>
      </c>
      <c r="I593">
        <v>15</v>
      </c>
      <c r="J593">
        <v>2564.85</v>
      </c>
      <c r="K593" t="str">
        <f t="shared" si="45"/>
        <v>Apr</v>
      </c>
      <c r="L593" t="str">
        <f t="shared" si="46"/>
        <v>High</v>
      </c>
      <c r="M593" t="str">
        <f t="shared" si="47"/>
        <v>Good</v>
      </c>
      <c r="N593">
        <f t="shared" si="49"/>
        <v>1656.75</v>
      </c>
      <c r="O593" s="6">
        <v>0.1</v>
      </c>
      <c r="P593">
        <f t="shared" si="48"/>
        <v>2308.3649999999998</v>
      </c>
    </row>
    <row r="594" spans="1:16" x14ac:dyDescent="0.25">
      <c r="A594" t="s">
        <v>630</v>
      </c>
      <c r="B594" s="1">
        <v>45704</v>
      </c>
      <c r="C594" t="s">
        <v>17</v>
      </c>
      <c r="D594" t="s">
        <v>35</v>
      </c>
      <c r="E594" t="s">
        <v>27</v>
      </c>
      <c r="F594" t="s">
        <v>28</v>
      </c>
      <c r="G594" t="s">
        <v>20</v>
      </c>
      <c r="H594">
        <v>70.010000000000005</v>
      </c>
      <c r="I594">
        <v>6</v>
      </c>
      <c r="J594">
        <v>420.06</v>
      </c>
      <c r="K594" t="str">
        <f t="shared" si="45"/>
        <v>Feb</v>
      </c>
      <c r="L594" t="str">
        <f t="shared" si="46"/>
        <v>Low</v>
      </c>
      <c r="M594" t="str">
        <f t="shared" si="47"/>
        <v>Low</v>
      </c>
      <c r="N594">
        <f t="shared" si="49"/>
        <v>-2144.79</v>
      </c>
      <c r="O594" s="6">
        <v>0.1</v>
      </c>
      <c r="P594">
        <f t="shared" si="48"/>
        <v>378.05400000000003</v>
      </c>
    </row>
    <row r="595" spans="1:16" x14ac:dyDescent="0.25">
      <c r="A595" t="s">
        <v>631</v>
      </c>
      <c r="B595" s="1">
        <v>45678</v>
      </c>
      <c r="C595" t="s">
        <v>34</v>
      </c>
      <c r="D595" t="s">
        <v>26</v>
      </c>
      <c r="E595" t="s">
        <v>45</v>
      </c>
      <c r="F595" t="s">
        <v>28</v>
      </c>
      <c r="G595" t="s">
        <v>15</v>
      </c>
      <c r="H595">
        <v>106.05</v>
      </c>
      <c r="I595">
        <v>7</v>
      </c>
      <c r="J595">
        <v>742.35</v>
      </c>
      <c r="K595" t="str">
        <f t="shared" si="45"/>
        <v>Jan</v>
      </c>
      <c r="L595" t="str">
        <f t="shared" si="46"/>
        <v>Low</v>
      </c>
      <c r="M595" t="str">
        <f t="shared" si="47"/>
        <v>Average</v>
      </c>
      <c r="N595">
        <f t="shared" si="49"/>
        <v>322.29000000000002</v>
      </c>
      <c r="O595" s="6">
        <v>0.1</v>
      </c>
      <c r="P595">
        <f t="shared" si="48"/>
        <v>668.11500000000001</v>
      </c>
    </row>
    <row r="596" spans="1:16" x14ac:dyDescent="0.25">
      <c r="A596" t="s">
        <v>632</v>
      </c>
      <c r="B596" s="1">
        <v>45840</v>
      </c>
      <c r="C596" t="s">
        <v>25</v>
      </c>
      <c r="D596" t="s">
        <v>22</v>
      </c>
      <c r="E596" t="s">
        <v>27</v>
      </c>
      <c r="F596" t="s">
        <v>32</v>
      </c>
      <c r="G596" t="s">
        <v>36</v>
      </c>
      <c r="H596">
        <v>227.29</v>
      </c>
      <c r="I596">
        <v>13</v>
      </c>
      <c r="J596">
        <v>2954.77</v>
      </c>
      <c r="K596" t="str">
        <f t="shared" si="45"/>
        <v>Jul</v>
      </c>
      <c r="L596" t="str">
        <f t="shared" si="46"/>
        <v>High</v>
      </c>
      <c r="M596" t="str">
        <f t="shared" si="47"/>
        <v>Good</v>
      </c>
      <c r="N596">
        <f t="shared" si="49"/>
        <v>2212.42</v>
      </c>
      <c r="O596" s="6">
        <v>0.1</v>
      </c>
      <c r="P596">
        <f t="shared" si="48"/>
        <v>2659.2930000000001</v>
      </c>
    </row>
    <row r="597" spans="1:16" x14ac:dyDescent="0.25">
      <c r="A597" t="s">
        <v>633</v>
      </c>
      <c r="B597" s="1">
        <v>45747</v>
      </c>
      <c r="C597" t="s">
        <v>38</v>
      </c>
      <c r="D597" t="s">
        <v>31</v>
      </c>
      <c r="E597" t="s">
        <v>18</v>
      </c>
      <c r="F597" t="s">
        <v>28</v>
      </c>
      <c r="G597" t="s">
        <v>20</v>
      </c>
      <c r="H597">
        <v>134.27000000000001</v>
      </c>
      <c r="I597">
        <v>1</v>
      </c>
      <c r="J597">
        <v>134.27000000000001</v>
      </c>
      <c r="K597" t="str">
        <f t="shared" si="45"/>
        <v>Mar</v>
      </c>
      <c r="L597" t="str">
        <f t="shared" si="46"/>
        <v>Low</v>
      </c>
      <c r="M597" t="str">
        <f t="shared" si="47"/>
        <v>Low</v>
      </c>
      <c r="N597">
        <f t="shared" si="49"/>
        <v>-2820.5</v>
      </c>
      <c r="O597" s="6">
        <v>0.1</v>
      </c>
      <c r="P597">
        <f t="shared" si="48"/>
        <v>120.84300000000002</v>
      </c>
    </row>
    <row r="598" spans="1:16" x14ac:dyDescent="0.25">
      <c r="A598" t="s">
        <v>634</v>
      </c>
      <c r="B598" s="1">
        <v>45785</v>
      </c>
      <c r="C598" t="s">
        <v>38</v>
      </c>
      <c r="D598" t="s">
        <v>22</v>
      </c>
      <c r="E598" t="s">
        <v>23</v>
      </c>
      <c r="F598" t="s">
        <v>19</v>
      </c>
      <c r="G598" t="s">
        <v>15</v>
      </c>
      <c r="H598">
        <v>176.86</v>
      </c>
      <c r="I598">
        <v>4</v>
      </c>
      <c r="J598">
        <v>707.44</v>
      </c>
      <c r="K598" t="str">
        <f t="shared" si="45"/>
        <v>May</v>
      </c>
      <c r="L598" t="str">
        <f t="shared" si="46"/>
        <v>Low</v>
      </c>
      <c r="M598" t="str">
        <f t="shared" si="47"/>
        <v>Average</v>
      </c>
      <c r="N598">
        <f t="shared" si="49"/>
        <v>573.17000000000007</v>
      </c>
      <c r="O598" s="6">
        <v>0.1</v>
      </c>
      <c r="P598">
        <f t="shared" si="48"/>
        <v>636.69600000000003</v>
      </c>
    </row>
    <row r="599" spans="1:16" x14ac:dyDescent="0.25">
      <c r="A599" t="s">
        <v>635</v>
      </c>
      <c r="B599" s="1">
        <v>45689</v>
      </c>
      <c r="C599" t="s">
        <v>30</v>
      </c>
      <c r="D599" t="s">
        <v>26</v>
      </c>
      <c r="E599" t="s">
        <v>41</v>
      </c>
      <c r="F599" t="s">
        <v>32</v>
      </c>
      <c r="G599" t="s">
        <v>20</v>
      </c>
      <c r="H599">
        <v>67.91</v>
      </c>
      <c r="I599">
        <v>8</v>
      </c>
      <c r="J599">
        <v>543.28</v>
      </c>
      <c r="K599" t="str">
        <f t="shared" si="45"/>
        <v>Feb</v>
      </c>
      <c r="L599" t="str">
        <f t="shared" si="46"/>
        <v>Low</v>
      </c>
      <c r="M599" t="str">
        <f t="shared" si="47"/>
        <v>Average</v>
      </c>
      <c r="N599">
        <f t="shared" si="49"/>
        <v>-164.16000000000008</v>
      </c>
      <c r="O599" s="6">
        <v>0.1</v>
      </c>
      <c r="P599">
        <f t="shared" si="48"/>
        <v>488.952</v>
      </c>
    </row>
    <row r="600" spans="1:16" x14ac:dyDescent="0.25">
      <c r="A600" t="s">
        <v>636</v>
      </c>
      <c r="B600" s="1">
        <v>45980</v>
      </c>
      <c r="C600" t="s">
        <v>25</v>
      </c>
      <c r="D600" t="s">
        <v>55</v>
      </c>
      <c r="E600" t="s">
        <v>13</v>
      </c>
      <c r="F600" t="s">
        <v>39</v>
      </c>
      <c r="G600" t="s">
        <v>15</v>
      </c>
      <c r="H600">
        <v>72.3</v>
      </c>
      <c r="I600">
        <v>3</v>
      </c>
      <c r="J600">
        <v>216.9</v>
      </c>
      <c r="K600" t="str">
        <f t="shared" si="45"/>
        <v>Nov</v>
      </c>
      <c r="L600" t="str">
        <f t="shared" si="46"/>
        <v>Low</v>
      </c>
      <c r="M600" t="str">
        <f t="shared" si="47"/>
        <v>Low</v>
      </c>
      <c r="N600">
        <f t="shared" si="49"/>
        <v>-326.38</v>
      </c>
      <c r="O600" s="6">
        <v>0.1</v>
      </c>
      <c r="P600">
        <f t="shared" si="48"/>
        <v>195.21</v>
      </c>
    </row>
    <row r="601" spans="1:16" x14ac:dyDescent="0.25">
      <c r="A601" t="s">
        <v>637</v>
      </c>
      <c r="B601" s="1">
        <v>45669</v>
      </c>
      <c r="C601" t="s">
        <v>30</v>
      </c>
      <c r="D601" t="s">
        <v>12</v>
      </c>
      <c r="E601" t="s">
        <v>41</v>
      </c>
      <c r="F601" t="s">
        <v>39</v>
      </c>
      <c r="G601" t="s">
        <v>15</v>
      </c>
      <c r="H601">
        <v>38.99</v>
      </c>
      <c r="I601">
        <v>3</v>
      </c>
      <c r="J601">
        <v>116.97</v>
      </c>
      <c r="K601" t="str">
        <f t="shared" si="45"/>
        <v>Jan</v>
      </c>
      <c r="L601" t="str">
        <f t="shared" si="46"/>
        <v>Low</v>
      </c>
      <c r="M601" t="str">
        <f t="shared" si="47"/>
        <v>Low</v>
      </c>
      <c r="N601">
        <f t="shared" si="49"/>
        <v>-99.93</v>
      </c>
      <c r="O601" s="6">
        <v>0.1</v>
      </c>
      <c r="P601">
        <f t="shared" si="48"/>
        <v>105.273</v>
      </c>
    </row>
    <row r="602" spans="1:16" x14ac:dyDescent="0.25">
      <c r="A602" t="s">
        <v>638</v>
      </c>
      <c r="B602" s="1">
        <v>45705</v>
      </c>
      <c r="C602" t="s">
        <v>11</v>
      </c>
      <c r="D602" t="s">
        <v>22</v>
      </c>
      <c r="E602" t="s">
        <v>41</v>
      </c>
      <c r="F602" t="s">
        <v>19</v>
      </c>
      <c r="G602" t="s">
        <v>15</v>
      </c>
      <c r="H602">
        <v>67.17</v>
      </c>
      <c r="I602">
        <v>11</v>
      </c>
      <c r="J602">
        <v>738.87</v>
      </c>
      <c r="K602" t="str">
        <f t="shared" si="45"/>
        <v>Feb</v>
      </c>
      <c r="L602" t="str">
        <f t="shared" si="46"/>
        <v>Low</v>
      </c>
      <c r="M602" t="str">
        <f t="shared" si="47"/>
        <v>Average</v>
      </c>
      <c r="N602">
        <f t="shared" si="49"/>
        <v>621.9</v>
      </c>
      <c r="O602" s="6">
        <v>0.1</v>
      </c>
      <c r="P602">
        <f t="shared" si="48"/>
        <v>664.98300000000006</v>
      </c>
    </row>
    <row r="603" spans="1:16" x14ac:dyDescent="0.25">
      <c r="A603" t="s">
        <v>639</v>
      </c>
      <c r="B603" s="1">
        <v>45951</v>
      </c>
      <c r="C603" t="s">
        <v>17</v>
      </c>
      <c r="D603" t="s">
        <v>31</v>
      </c>
      <c r="E603" t="s">
        <v>41</v>
      </c>
      <c r="F603" t="s">
        <v>19</v>
      </c>
      <c r="G603" t="s">
        <v>36</v>
      </c>
      <c r="H603">
        <v>91.29</v>
      </c>
      <c r="I603">
        <v>14</v>
      </c>
      <c r="J603">
        <v>1278.06</v>
      </c>
      <c r="K603" t="str">
        <f t="shared" si="45"/>
        <v>Oct</v>
      </c>
      <c r="L603" t="str">
        <f t="shared" si="46"/>
        <v>Low</v>
      </c>
      <c r="M603" t="str">
        <f t="shared" si="47"/>
        <v>Average</v>
      </c>
      <c r="N603">
        <f t="shared" si="49"/>
        <v>539.18999999999994</v>
      </c>
      <c r="O603" s="6">
        <v>0.1</v>
      </c>
      <c r="P603">
        <f t="shared" si="48"/>
        <v>1150.2539999999999</v>
      </c>
    </row>
    <row r="604" spans="1:16" x14ac:dyDescent="0.25">
      <c r="A604" t="s">
        <v>640</v>
      </c>
      <c r="B604" s="1">
        <v>46007</v>
      </c>
      <c r="C604" t="s">
        <v>30</v>
      </c>
      <c r="D604" t="s">
        <v>35</v>
      </c>
      <c r="E604" t="s">
        <v>23</v>
      </c>
      <c r="F604" t="s">
        <v>14</v>
      </c>
      <c r="G604" t="s">
        <v>36</v>
      </c>
      <c r="H604">
        <v>68.94</v>
      </c>
      <c r="I604">
        <v>14</v>
      </c>
      <c r="J604">
        <v>965.16</v>
      </c>
      <c r="K604" t="str">
        <f t="shared" si="45"/>
        <v>Dec</v>
      </c>
      <c r="L604" t="str">
        <f t="shared" si="46"/>
        <v>Low</v>
      </c>
      <c r="M604" t="str">
        <f t="shared" si="47"/>
        <v>Average</v>
      </c>
      <c r="N604">
        <f t="shared" si="49"/>
        <v>-312.89999999999998</v>
      </c>
      <c r="O604" s="6">
        <v>0.1</v>
      </c>
      <c r="P604">
        <f t="shared" si="48"/>
        <v>868.64400000000001</v>
      </c>
    </row>
    <row r="605" spans="1:16" x14ac:dyDescent="0.25">
      <c r="A605" t="s">
        <v>641</v>
      </c>
      <c r="B605" s="1">
        <v>45801</v>
      </c>
      <c r="C605" t="s">
        <v>30</v>
      </c>
      <c r="D605" t="s">
        <v>22</v>
      </c>
      <c r="E605" t="s">
        <v>18</v>
      </c>
      <c r="F605" t="s">
        <v>42</v>
      </c>
      <c r="G605" t="s">
        <v>20</v>
      </c>
      <c r="H605">
        <v>49.51</v>
      </c>
      <c r="I605">
        <v>15</v>
      </c>
      <c r="J605">
        <v>742.65</v>
      </c>
      <c r="K605" t="str">
        <f t="shared" si="45"/>
        <v>May</v>
      </c>
      <c r="L605" t="str">
        <f t="shared" si="46"/>
        <v>Low</v>
      </c>
      <c r="M605" t="str">
        <f t="shared" si="47"/>
        <v>Average</v>
      </c>
      <c r="N605">
        <f t="shared" si="49"/>
        <v>-222.51</v>
      </c>
      <c r="O605" s="6">
        <v>0.1</v>
      </c>
      <c r="P605">
        <f t="shared" si="48"/>
        <v>668.38499999999999</v>
      </c>
    </row>
    <row r="606" spans="1:16" x14ac:dyDescent="0.25">
      <c r="A606" t="s">
        <v>642</v>
      </c>
      <c r="B606" s="1">
        <v>45783</v>
      </c>
      <c r="C606" t="s">
        <v>38</v>
      </c>
      <c r="D606" t="s">
        <v>31</v>
      </c>
      <c r="E606" t="s">
        <v>18</v>
      </c>
      <c r="F606" t="s">
        <v>61</v>
      </c>
      <c r="G606" t="s">
        <v>15</v>
      </c>
      <c r="H606">
        <v>56.54</v>
      </c>
      <c r="I606">
        <v>10</v>
      </c>
      <c r="J606">
        <v>565.4</v>
      </c>
      <c r="K606" t="str">
        <f t="shared" si="45"/>
        <v>May</v>
      </c>
      <c r="L606" t="str">
        <f t="shared" si="46"/>
        <v>Low</v>
      </c>
      <c r="M606" t="str">
        <f t="shared" si="47"/>
        <v>Average</v>
      </c>
      <c r="N606">
        <f t="shared" si="49"/>
        <v>-177.25</v>
      </c>
      <c r="O606" s="6">
        <v>0.1</v>
      </c>
      <c r="P606">
        <f t="shared" si="48"/>
        <v>508.86</v>
      </c>
    </row>
    <row r="607" spans="1:16" x14ac:dyDescent="0.25">
      <c r="A607" t="s">
        <v>643</v>
      </c>
      <c r="B607" s="1">
        <v>45702</v>
      </c>
      <c r="C607" t="s">
        <v>38</v>
      </c>
      <c r="D607" t="s">
        <v>26</v>
      </c>
      <c r="E607" t="s">
        <v>41</v>
      </c>
      <c r="F607" t="s">
        <v>14</v>
      </c>
      <c r="G607" t="s">
        <v>20</v>
      </c>
      <c r="H607">
        <v>131.37</v>
      </c>
      <c r="I607">
        <v>9</v>
      </c>
      <c r="J607">
        <v>1182.33</v>
      </c>
      <c r="K607" t="str">
        <f t="shared" si="45"/>
        <v>Feb</v>
      </c>
      <c r="L607" t="str">
        <f t="shared" si="46"/>
        <v>Low</v>
      </c>
      <c r="M607" t="str">
        <f t="shared" si="47"/>
        <v>Average</v>
      </c>
      <c r="N607">
        <f t="shared" si="49"/>
        <v>616.92999999999995</v>
      </c>
      <c r="O607" s="6">
        <v>0.1</v>
      </c>
      <c r="P607">
        <f t="shared" si="48"/>
        <v>1064.097</v>
      </c>
    </row>
    <row r="608" spans="1:16" x14ac:dyDescent="0.25">
      <c r="A608" t="s">
        <v>644</v>
      </c>
      <c r="B608" s="1">
        <v>45927</v>
      </c>
      <c r="C608" t="s">
        <v>17</v>
      </c>
      <c r="D608" t="s">
        <v>55</v>
      </c>
      <c r="E608" t="s">
        <v>45</v>
      </c>
      <c r="F608" t="s">
        <v>61</v>
      </c>
      <c r="G608" t="s">
        <v>20</v>
      </c>
      <c r="H608">
        <v>75.39</v>
      </c>
      <c r="I608">
        <v>8</v>
      </c>
      <c r="J608">
        <v>603.12</v>
      </c>
      <c r="K608" t="str">
        <f t="shared" si="45"/>
        <v>Sep</v>
      </c>
      <c r="L608" t="str">
        <f t="shared" si="46"/>
        <v>Low</v>
      </c>
      <c r="M608" t="str">
        <f t="shared" si="47"/>
        <v>Average</v>
      </c>
      <c r="N608">
        <f t="shared" si="49"/>
        <v>-579.20999999999992</v>
      </c>
      <c r="O608" s="6">
        <v>0.1</v>
      </c>
      <c r="P608">
        <f t="shared" si="48"/>
        <v>542.80799999999999</v>
      </c>
    </row>
    <row r="609" spans="1:16" x14ac:dyDescent="0.25">
      <c r="A609" t="s">
        <v>645</v>
      </c>
      <c r="B609" s="1">
        <v>45841</v>
      </c>
      <c r="C609" t="s">
        <v>25</v>
      </c>
      <c r="D609" t="s">
        <v>31</v>
      </c>
      <c r="E609" t="s">
        <v>13</v>
      </c>
      <c r="F609" t="s">
        <v>42</v>
      </c>
      <c r="G609" t="s">
        <v>20</v>
      </c>
      <c r="H609">
        <v>110.14</v>
      </c>
      <c r="I609">
        <v>16</v>
      </c>
      <c r="J609">
        <v>1762.24</v>
      </c>
      <c r="K609" t="str">
        <f t="shared" si="45"/>
        <v>Jul</v>
      </c>
      <c r="L609" t="str">
        <f t="shared" si="46"/>
        <v>Low</v>
      </c>
      <c r="M609" t="str">
        <f t="shared" si="47"/>
        <v>Good</v>
      </c>
      <c r="N609">
        <f t="shared" si="49"/>
        <v>1159.1199999999999</v>
      </c>
      <c r="O609" s="6">
        <v>0.1</v>
      </c>
      <c r="P609">
        <f t="shared" si="48"/>
        <v>1586.0160000000001</v>
      </c>
    </row>
    <row r="610" spans="1:16" x14ac:dyDescent="0.25">
      <c r="A610" t="s">
        <v>646</v>
      </c>
      <c r="B610" s="1">
        <v>45822</v>
      </c>
      <c r="C610" t="s">
        <v>34</v>
      </c>
      <c r="D610" t="s">
        <v>26</v>
      </c>
      <c r="E610" t="s">
        <v>45</v>
      </c>
      <c r="F610" t="s">
        <v>32</v>
      </c>
      <c r="G610" t="s">
        <v>20</v>
      </c>
      <c r="H610">
        <v>140.75</v>
      </c>
      <c r="I610">
        <v>13</v>
      </c>
      <c r="J610">
        <v>1829.75</v>
      </c>
      <c r="K610" t="str">
        <f t="shared" si="45"/>
        <v>Jun</v>
      </c>
      <c r="L610" t="str">
        <f t="shared" si="46"/>
        <v>Low</v>
      </c>
      <c r="M610" t="str">
        <f t="shared" si="47"/>
        <v>Good</v>
      </c>
      <c r="N610">
        <f t="shared" si="49"/>
        <v>67.509999999999991</v>
      </c>
      <c r="O610" s="6">
        <v>0.1</v>
      </c>
      <c r="P610">
        <f t="shared" si="48"/>
        <v>1646.7750000000001</v>
      </c>
    </row>
    <row r="611" spans="1:16" x14ac:dyDescent="0.25">
      <c r="A611" t="s">
        <v>647</v>
      </c>
      <c r="B611" s="1">
        <v>45770</v>
      </c>
      <c r="C611" t="s">
        <v>34</v>
      </c>
      <c r="D611" t="s">
        <v>22</v>
      </c>
      <c r="E611" t="s">
        <v>41</v>
      </c>
      <c r="F611" t="s">
        <v>42</v>
      </c>
      <c r="G611" t="s">
        <v>36</v>
      </c>
      <c r="H611">
        <v>181.89</v>
      </c>
      <c r="I611">
        <v>1</v>
      </c>
      <c r="J611">
        <v>181.89</v>
      </c>
      <c r="K611" t="str">
        <f t="shared" si="45"/>
        <v>Apr</v>
      </c>
      <c r="L611" t="str">
        <f t="shared" si="46"/>
        <v>Low</v>
      </c>
      <c r="M611" t="str">
        <f t="shared" si="47"/>
        <v>Low</v>
      </c>
      <c r="N611">
        <f t="shared" si="49"/>
        <v>-1647.8600000000001</v>
      </c>
      <c r="O611" s="6">
        <v>0.1</v>
      </c>
      <c r="P611">
        <f t="shared" si="48"/>
        <v>163.70099999999999</v>
      </c>
    </row>
    <row r="612" spans="1:16" x14ac:dyDescent="0.25">
      <c r="A612" t="s">
        <v>648</v>
      </c>
      <c r="B612" s="1">
        <v>45957</v>
      </c>
      <c r="C612" t="s">
        <v>30</v>
      </c>
      <c r="D612" t="s">
        <v>22</v>
      </c>
      <c r="E612" t="s">
        <v>23</v>
      </c>
      <c r="F612" t="s">
        <v>28</v>
      </c>
      <c r="G612" t="s">
        <v>15</v>
      </c>
      <c r="H612">
        <v>38.65</v>
      </c>
      <c r="I612">
        <v>8</v>
      </c>
      <c r="J612">
        <v>309.2</v>
      </c>
      <c r="K612" t="str">
        <f t="shared" si="45"/>
        <v>Oct</v>
      </c>
      <c r="L612" t="str">
        <f t="shared" si="46"/>
        <v>Low</v>
      </c>
      <c r="M612" t="str">
        <f t="shared" si="47"/>
        <v>Low</v>
      </c>
      <c r="N612">
        <f t="shared" si="49"/>
        <v>127.31</v>
      </c>
      <c r="O612" s="6">
        <v>0.1</v>
      </c>
      <c r="P612">
        <f t="shared" si="48"/>
        <v>278.27999999999997</v>
      </c>
    </row>
    <row r="613" spans="1:16" x14ac:dyDescent="0.25">
      <c r="A613" t="s">
        <v>649</v>
      </c>
      <c r="B613" s="1">
        <v>45794</v>
      </c>
      <c r="C613" t="s">
        <v>17</v>
      </c>
      <c r="D613" t="s">
        <v>22</v>
      </c>
      <c r="E613" t="s">
        <v>23</v>
      </c>
      <c r="F613" t="s">
        <v>42</v>
      </c>
      <c r="G613" t="s">
        <v>36</v>
      </c>
      <c r="H613">
        <v>205.87</v>
      </c>
      <c r="I613">
        <v>18</v>
      </c>
      <c r="J613">
        <v>3705.66</v>
      </c>
      <c r="K613" t="str">
        <f t="shared" si="45"/>
        <v>May</v>
      </c>
      <c r="L613" t="str">
        <f t="shared" si="46"/>
        <v>High</v>
      </c>
      <c r="M613" t="str">
        <f t="shared" si="47"/>
        <v>Excellent</v>
      </c>
      <c r="N613">
        <f t="shared" si="49"/>
        <v>3396.46</v>
      </c>
      <c r="O613" s="6">
        <v>0.1</v>
      </c>
      <c r="P613">
        <f t="shared" si="48"/>
        <v>3335.0940000000001</v>
      </c>
    </row>
    <row r="614" spans="1:16" x14ac:dyDescent="0.25">
      <c r="A614" t="s">
        <v>650</v>
      </c>
      <c r="B614" s="1">
        <v>45839</v>
      </c>
      <c r="C614" t="s">
        <v>30</v>
      </c>
      <c r="D614" t="s">
        <v>26</v>
      </c>
      <c r="E614" t="s">
        <v>18</v>
      </c>
      <c r="F614" t="s">
        <v>32</v>
      </c>
      <c r="G614" t="s">
        <v>20</v>
      </c>
      <c r="H614">
        <v>168.14</v>
      </c>
      <c r="I614">
        <v>6</v>
      </c>
      <c r="J614">
        <v>1008.84</v>
      </c>
      <c r="K614" t="str">
        <f t="shared" si="45"/>
        <v>Jul</v>
      </c>
      <c r="L614" t="str">
        <f t="shared" si="46"/>
        <v>Low</v>
      </c>
      <c r="M614" t="str">
        <f t="shared" si="47"/>
        <v>Average</v>
      </c>
      <c r="N614">
        <f t="shared" si="49"/>
        <v>-2696.8199999999997</v>
      </c>
      <c r="O614" s="6">
        <v>0.1</v>
      </c>
      <c r="P614">
        <f t="shared" si="48"/>
        <v>907.95600000000002</v>
      </c>
    </row>
    <row r="615" spans="1:16" x14ac:dyDescent="0.25">
      <c r="A615" t="s">
        <v>651</v>
      </c>
      <c r="B615" s="1">
        <v>46015</v>
      </c>
      <c r="C615" t="s">
        <v>25</v>
      </c>
      <c r="D615" t="s">
        <v>22</v>
      </c>
      <c r="E615" t="s">
        <v>27</v>
      </c>
      <c r="F615" t="s">
        <v>28</v>
      </c>
      <c r="G615" t="s">
        <v>36</v>
      </c>
      <c r="H615">
        <v>47.99</v>
      </c>
      <c r="I615">
        <v>12</v>
      </c>
      <c r="J615">
        <v>575.88</v>
      </c>
      <c r="K615" t="str">
        <f t="shared" si="45"/>
        <v>Dec</v>
      </c>
      <c r="L615" t="str">
        <f t="shared" si="46"/>
        <v>Low</v>
      </c>
      <c r="M615" t="str">
        <f t="shared" si="47"/>
        <v>Average</v>
      </c>
      <c r="N615">
        <f t="shared" si="49"/>
        <v>-432.96000000000004</v>
      </c>
      <c r="O615" s="6">
        <v>0.1</v>
      </c>
      <c r="P615">
        <f t="shared" si="48"/>
        <v>518.29200000000003</v>
      </c>
    </row>
    <row r="616" spans="1:16" x14ac:dyDescent="0.25">
      <c r="A616" t="s">
        <v>652</v>
      </c>
      <c r="B616" s="1">
        <v>45948</v>
      </c>
      <c r="C616" t="s">
        <v>30</v>
      </c>
      <c r="D616" t="s">
        <v>55</v>
      </c>
      <c r="E616" t="s">
        <v>23</v>
      </c>
      <c r="F616" t="s">
        <v>39</v>
      </c>
      <c r="G616" t="s">
        <v>36</v>
      </c>
      <c r="H616">
        <v>222.19</v>
      </c>
      <c r="I616">
        <v>19</v>
      </c>
      <c r="J616">
        <v>4221.6099999999997</v>
      </c>
      <c r="K616" t="str">
        <f t="shared" si="45"/>
        <v>Oct</v>
      </c>
      <c r="L616" t="str">
        <f t="shared" si="46"/>
        <v>High</v>
      </c>
      <c r="M616" t="str">
        <f t="shared" si="47"/>
        <v>Excellent</v>
      </c>
      <c r="N616">
        <f t="shared" si="49"/>
        <v>3645.7299999999996</v>
      </c>
      <c r="O616" s="6">
        <v>0.1</v>
      </c>
      <c r="P616">
        <f t="shared" si="48"/>
        <v>3799.4489999999996</v>
      </c>
    </row>
    <row r="617" spans="1:16" x14ac:dyDescent="0.25">
      <c r="A617" t="s">
        <v>653</v>
      </c>
      <c r="B617" s="1">
        <v>45935</v>
      </c>
      <c r="C617" t="s">
        <v>30</v>
      </c>
      <c r="D617" t="s">
        <v>31</v>
      </c>
      <c r="E617" t="s">
        <v>45</v>
      </c>
      <c r="F617" t="s">
        <v>19</v>
      </c>
      <c r="G617" t="s">
        <v>15</v>
      </c>
      <c r="H617">
        <v>232.59</v>
      </c>
      <c r="I617">
        <v>10</v>
      </c>
      <c r="J617">
        <v>2325.9</v>
      </c>
      <c r="K617" t="str">
        <f t="shared" si="45"/>
        <v>Oct</v>
      </c>
      <c r="L617" t="str">
        <f t="shared" si="46"/>
        <v>High</v>
      </c>
      <c r="M617" t="str">
        <f t="shared" si="47"/>
        <v>Good</v>
      </c>
      <c r="N617">
        <f t="shared" si="49"/>
        <v>-1895.7099999999996</v>
      </c>
      <c r="O617" s="6">
        <v>0.1</v>
      </c>
      <c r="P617">
        <f t="shared" si="48"/>
        <v>2093.31</v>
      </c>
    </row>
    <row r="618" spans="1:16" x14ac:dyDescent="0.25">
      <c r="A618" t="s">
        <v>654</v>
      </c>
      <c r="B618" s="1">
        <v>45777</v>
      </c>
      <c r="C618" t="s">
        <v>30</v>
      </c>
      <c r="D618" t="s">
        <v>22</v>
      </c>
      <c r="E618" t="s">
        <v>18</v>
      </c>
      <c r="F618" t="s">
        <v>61</v>
      </c>
      <c r="G618" t="s">
        <v>15</v>
      </c>
      <c r="H618">
        <v>43.44</v>
      </c>
      <c r="I618">
        <v>20</v>
      </c>
      <c r="J618">
        <v>868.8</v>
      </c>
      <c r="K618" t="str">
        <f t="shared" si="45"/>
        <v>Apr</v>
      </c>
      <c r="L618" t="str">
        <f t="shared" si="46"/>
        <v>Low</v>
      </c>
      <c r="M618" t="str">
        <f t="shared" si="47"/>
        <v>Average</v>
      </c>
      <c r="N618">
        <f t="shared" si="49"/>
        <v>-1457.1000000000001</v>
      </c>
      <c r="O618" s="6">
        <v>0.1</v>
      </c>
      <c r="P618">
        <f t="shared" si="48"/>
        <v>781.92</v>
      </c>
    </row>
    <row r="619" spans="1:16" x14ac:dyDescent="0.25">
      <c r="A619" t="s">
        <v>655</v>
      </c>
      <c r="B619" s="1">
        <v>45827</v>
      </c>
      <c r="C619" t="s">
        <v>30</v>
      </c>
      <c r="D619" t="s">
        <v>26</v>
      </c>
      <c r="E619" t="s">
        <v>13</v>
      </c>
      <c r="F619" t="s">
        <v>28</v>
      </c>
      <c r="G619" t="s">
        <v>15</v>
      </c>
      <c r="H619">
        <v>90.91</v>
      </c>
      <c r="I619">
        <v>20</v>
      </c>
      <c r="J619">
        <v>1818.2</v>
      </c>
      <c r="K619" t="str">
        <f t="shared" si="45"/>
        <v>Jun</v>
      </c>
      <c r="L619" t="str">
        <f t="shared" si="46"/>
        <v>Low</v>
      </c>
      <c r="M619" t="str">
        <f t="shared" si="47"/>
        <v>Good</v>
      </c>
      <c r="N619">
        <f t="shared" si="49"/>
        <v>949.40000000000009</v>
      </c>
      <c r="O619" s="6">
        <v>0.1</v>
      </c>
      <c r="P619">
        <f t="shared" si="48"/>
        <v>1636.38</v>
      </c>
    </row>
    <row r="620" spans="1:16" x14ac:dyDescent="0.25">
      <c r="A620" t="s">
        <v>656</v>
      </c>
      <c r="B620" s="1">
        <v>45823</v>
      </c>
      <c r="C620" t="s">
        <v>11</v>
      </c>
      <c r="D620" t="s">
        <v>26</v>
      </c>
      <c r="E620" t="s">
        <v>18</v>
      </c>
      <c r="F620" t="s">
        <v>28</v>
      </c>
      <c r="G620" t="s">
        <v>15</v>
      </c>
      <c r="H620">
        <v>207.36</v>
      </c>
      <c r="I620">
        <v>2</v>
      </c>
      <c r="J620">
        <v>414.72</v>
      </c>
      <c r="K620" t="str">
        <f t="shared" si="45"/>
        <v>Jun</v>
      </c>
      <c r="L620" t="str">
        <f t="shared" si="46"/>
        <v>Low</v>
      </c>
      <c r="M620" t="str">
        <f t="shared" si="47"/>
        <v>Low</v>
      </c>
      <c r="N620">
        <f t="shared" si="49"/>
        <v>-1403.48</v>
      </c>
      <c r="O620" s="6">
        <v>0.1</v>
      </c>
      <c r="P620">
        <f t="shared" si="48"/>
        <v>373.24800000000005</v>
      </c>
    </row>
    <row r="621" spans="1:16" x14ac:dyDescent="0.25">
      <c r="A621" t="s">
        <v>657</v>
      </c>
      <c r="B621" s="1">
        <v>45714</v>
      </c>
      <c r="C621" t="s">
        <v>34</v>
      </c>
      <c r="D621" t="s">
        <v>22</v>
      </c>
      <c r="E621" t="s">
        <v>13</v>
      </c>
      <c r="F621" t="s">
        <v>28</v>
      </c>
      <c r="G621" t="s">
        <v>20</v>
      </c>
      <c r="H621">
        <v>194.62</v>
      </c>
      <c r="I621">
        <v>17</v>
      </c>
      <c r="J621">
        <v>3308.54</v>
      </c>
      <c r="K621" t="str">
        <f t="shared" si="45"/>
        <v>Feb</v>
      </c>
      <c r="L621" t="str">
        <f t="shared" si="46"/>
        <v>High</v>
      </c>
      <c r="M621" t="str">
        <f t="shared" si="47"/>
        <v>Excellent</v>
      </c>
      <c r="N621">
        <f t="shared" si="49"/>
        <v>2893.8199999999997</v>
      </c>
      <c r="O621" s="6">
        <v>0.1</v>
      </c>
      <c r="P621">
        <f t="shared" si="48"/>
        <v>2977.6860000000001</v>
      </c>
    </row>
    <row r="622" spans="1:16" x14ac:dyDescent="0.25">
      <c r="A622" t="s">
        <v>658</v>
      </c>
      <c r="B622" s="1">
        <v>45860</v>
      </c>
      <c r="C622" t="s">
        <v>11</v>
      </c>
      <c r="D622" t="s">
        <v>35</v>
      </c>
      <c r="E622" t="s">
        <v>13</v>
      </c>
      <c r="F622" t="s">
        <v>32</v>
      </c>
      <c r="G622" t="s">
        <v>15</v>
      </c>
      <c r="H622">
        <v>70.59</v>
      </c>
      <c r="I622">
        <v>19</v>
      </c>
      <c r="J622">
        <v>1341.21</v>
      </c>
      <c r="K622" t="str">
        <f t="shared" si="45"/>
        <v>Jul</v>
      </c>
      <c r="L622" t="str">
        <f t="shared" si="46"/>
        <v>Low</v>
      </c>
      <c r="M622" t="str">
        <f t="shared" si="47"/>
        <v>Average</v>
      </c>
      <c r="N622">
        <f t="shared" si="49"/>
        <v>-1967.33</v>
      </c>
      <c r="O622" s="6">
        <v>0.1</v>
      </c>
      <c r="P622">
        <f t="shared" si="48"/>
        <v>1207.0890000000002</v>
      </c>
    </row>
    <row r="623" spans="1:16" x14ac:dyDescent="0.25">
      <c r="A623" t="s">
        <v>659</v>
      </c>
      <c r="B623" s="1">
        <v>45738</v>
      </c>
      <c r="C623" t="s">
        <v>17</v>
      </c>
      <c r="D623" t="s">
        <v>31</v>
      </c>
      <c r="E623" t="s">
        <v>27</v>
      </c>
      <c r="F623" t="s">
        <v>32</v>
      </c>
      <c r="G623" t="s">
        <v>15</v>
      </c>
      <c r="H623">
        <v>76.06</v>
      </c>
      <c r="I623">
        <v>14</v>
      </c>
      <c r="J623">
        <v>1064.8399999999999</v>
      </c>
      <c r="K623" t="str">
        <f t="shared" si="45"/>
        <v>Mar</v>
      </c>
      <c r="L623" t="str">
        <f t="shared" si="46"/>
        <v>Low</v>
      </c>
      <c r="M623" t="str">
        <f t="shared" si="47"/>
        <v>Average</v>
      </c>
      <c r="N623">
        <f t="shared" si="49"/>
        <v>-276.37000000000012</v>
      </c>
      <c r="O623" s="6">
        <v>0.1</v>
      </c>
      <c r="P623">
        <f t="shared" si="48"/>
        <v>958.35599999999999</v>
      </c>
    </row>
    <row r="624" spans="1:16" x14ac:dyDescent="0.25">
      <c r="A624" t="s">
        <v>660</v>
      </c>
      <c r="B624" s="1">
        <v>46020</v>
      </c>
      <c r="C624" t="s">
        <v>17</v>
      </c>
      <c r="D624" t="s">
        <v>55</v>
      </c>
      <c r="E624" t="s">
        <v>13</v>
      </c>
      <c r="F624" t="s">
        <v>14</v>
      </c>
      <c r="G624" t="s">
        <v>20</v>
      </c>
      <c r="H624">
        <v>111.5</v>
      </c>
      <c r="I624">
        <v>18</v>
      </c>
      <c r="J624">
        <v>2007</v>
      </c>
      <c r="K624" t="str">
        <f t="shared" si="45"/>
        <v>Dec</v>
      </c>
      <c r="L624" t="str">
        <f t="shared" si="46"/>
        <v>High</v>
      </c>
      <c r="M624" t="str">
        <f t="shared" si="47"/>
        <v>Good</v>
      </c>
      <c r="N624">
        <f t="shared" si="49"/>
        <v>942.16000000000008</v>
      </c>
      <c r="O624" s="6">
        <v>0.1</v>
      </c>
      <c r="P624">
        <f t="shared" si="48"/>
        <v>1806.3</v>
      </c>
    </row>
    <row r="625" spans="1:16" x14ac:dyDescent="0.25">
      <c r="A625" t="s">
        <v>661</v>
      </c>
      <c r="B625" s="1">
        <v>45959</v>
      </c>
      <c r="C625" t="s">
        <v>38</v>
      </c>
      <c r="D625" t="s">
        <v>35</v>
      </c>
      <c r="E625" t="s">
        <v>27</v>
      </c>
      <c r="F625" t="s">
        <v>28</v>
      </c>
      <c r="G625" t="s">
        <v>36</v>
      </c>
      <c r="H625">
        <v>136.6</v>
      </c>
      <c r="I625">
        <v>6</v>
      </c>
      <c r="J625">
        <v>819.6</v>
      </c>
      <c r="K625" t="str">
        <f t="shared" si="45"/>
        <v>Oct</v>
      </c>
      <c r="L625" t="str">
        <f t="shared" si="46"/>
        <v>Low</v>
      </c>
      <c r="M625" t="str">
        <f t="shared" si="47"/>
        <v>Average</v>
      </c>
      <c r="N625">
        <f t="shared" si="49"/>
        <v>-1187.4000000000001</v>
      </c>
      <c r="O625" s="6">
        <v>0.1</v>
      </c>
      <c r="P625">
        <f t="shared" si="48"/>
        <v>737.64</v>
      </c>
    </row>
    <row r="626" spans="1:16" x14ac:dyDescent="0.25">
      <c r="A626" t="s">
        <v>662</v>
      </c>
      <c r="B626" s="1">
        <v>45723</v>
      </c>
      <c r="C626" t="s">
        <v>17</v>
      </c>
      <c r="D626" t="s">
        <v>22</v>
      </c>
      <c r="E626" t="s">
        <v>27</v>
      </c>
      <c r="F626" t="s">
        <v>42</v>
      </c>
      <c r="G626" t="s">
        <v>36</v>
      </c>
      <c r="H626">
        <v>166.02</v>
      </c>
      <c r="I626">
        <v>6</v>
      </c>
      <c r="J626">
        <v>996.12</v>
      </c>
      <c r="K626" t="str">
        <f t="shared" si="45"/>
        <v>Mar</v>
      </c>
      <c r="L626" t="str">
        <f t="shared" si="46"/>
        <v>Low</v>
      </c>
      <c r="M626" t="str">
        <f t="shared" si="47"/>
        <v>Average</v>
      </c>
      <c r="N626">
        <f t="shared" si="49"/>
        <v>176.51999999999998</v>
      </c>
      <c r="O626" s="6">
        <v>0.1</v>
      </c>
      <c r="P626">
        <f t="shared" si="48"/>
        <v>896.50800000000004</v>
      </c>
    </row>
    <row r="627" spans="1:16" x14ac:dyDescent="0.25">
      <c r="A627" t="s">
        <v>663</v>
      </c>
      <c r="B627" s="1">
        <v>45948</v>
      </c>
      <c r="C627" t="s">
        <v>30</v>
      </c>
      <c r="D627" t="s">
        <v>55</v>
      </c>
      <c r="E627" t="s">
        <v>13</v>
      </c>
      <c r="F627" t="s">
        <v>39</v>
      </c>
      <c r="G627" t="s">
        <v>20</v>
      </c>
      <c r="H627">
        <v>111.16</v>
      </c>
      <c r="I627">
        <v>2</v>
      </c>
      <c r="J627">
        <v>222.32</v>
      </c>
      <c r="K627" t="str">
        <f t="shared" si="45"/>
        <v>Oct</v>
      </c>
      <c r="L627" t="str">
        <f t="shared" si="46"/>
        <v>Low</v>
      </c>
      <c r="M627" t="str">
        <f t="shared" si="47"/>
        <v>Low</v>
      </c>
      <c r="N627">
        <f t="shared" si="49"/>
        <v>-773.8</v>
      </c>
      <c r="O627" s="6">
        <v>0.1</v>
      </c>
      <c r="P627">
        <f t="shared" si="48"/>
        <v>200.08799999999999</v>
      </c>
    </row>
    <row r="628" spans="1:16" x14ac:dyDescent="0.25">
      <c r="A628" t="s">
        <v>664</v>
      </c>
      <c r="B628" s="1">
        <v>45771</v>
      </c>
      <c r="C628" t="s">
        <v>11</v>
      </c>
      <c r="D628" t="s">
        <v>31</v>
      </c>
      <c r="E628" t="s">
        <v>23</v>
      </c>
      <c r="F628" t="s">
        <v>32</v>
      </c>
      <c r="G628" t="s">
        <v>20</v>
      </c>
      <c r="H628">
        <v>131.76</v>
      </c>
      <c r="I628">
        <v>19</v>
      </c>
      <c r="J628">
        <v>2503.44</v>
      </c>
      <c r="K628" t="str">
        <f t="shared" si="45"/>
        <v>Apr</v>
      </c>
      <c r="L628" t="str">
        <f t="shared" si="46"/>
        <v>High</v>
      </c>
      <c r="M628" t="str">
        <f t="shared" si="47"/>
        <v>Good</v>
      </c>
      <c r="N628">
        <f t="shared" si="49"/>
        <v>2281.12</v>
      </c>
      <c r="O628" s="6">
        <v>0.1</v>
      </c>
      <c r="P628">
        <f t="shared" si="48"/>
        <v>2253.096</v>
      </c>
    </row>
    <row r="629" spans="1:16" x14ac:dyDescent="0.25">
      <c r="A629" t="s">
        <v>665</v>
      </c>
      <c r="B629" s="1">
        <v>45697</v>
      </c>
      <c r="C629" t="s">
        <v>34</v>
      </c>
      <c r="D629" t="s">
        <v>35</v>
      </c>
      <c r="E629" t="s">
        <v>23</v>
      </c>
      <c r="F629" t="s">
        <v>28</v>
      </c>
      <c r="G629" t="s">
        <v>15</v>
      </c>
      <c r="H629">
        <v>194.44</v>
      </c>
      <c r="I629">
        <v>8</v>
      </c>
      <c r="J629">
        <v>1555.52</v>
      </c>
      <c r="K629" t="str">
        <f t="shared" si="45"/>
        <v>Feb</v>
      </c>
      <c r="L629" t="str">
        <f t="shared" si="46"/>
        <v>Low</v>
      </c>
      <c r="M629" t="str">
        <f t="shared" si="47"/>
        <v>Good</v>
      </c>
      <c r="N629">
        <f t="shared" si="49"/>
        <v>-947.92000000000007</v>
      </c>
      <c r="O629" s="6">
        <v>0.1</v>
      </c>
      <c r="P629">
        <f t="shared" si="48"/>
        <v>1399.9680000000001</v>
      </c>
    </row>
    <row r="630" spans="1:16" x14ac:dyDescent="0.25">
      <c r="A630" t="s">
        <v>666</v>
      </c>
      <c r="B630" s="1">
        <v>46020</v>
      </c>
      <c r="C630" t="s">
        <v>38</v>
      </c>
      <c r="D630" t="s">
        <v>22</v>
      </c>
      <c r="E630" t="s">
        <v>13</v>
      </c>
      <c r="F630" t="s">
        <v>14</v>
      </c>
      <c r="G630" t="s">
        <v>15</v>
      </c>
      <c r="H630">
        <v>38.07</v>
      </c>
      <c r="I630">
        <v>11</v>
      </c>
      <c r="J630">
        <v>418.77</v>
      </c>
      <c r="K630" t="str">
        <f t="shared" si="45"/>
        <v>Dec</v>
      </c>
      <c r="L630" t="str">
        <f t="shared" si="46"/>
        <v>Low</v>
      </c>
      <c r="M630" t="str">
        <f t="shared" si="47"/>
        <v>Low</v>
      </c>
      <c r="N630">
        <f t="shared" si="49"/>
        <v>-1136.75</v>
      </c>
      <c r="O630" s="6">
        <v>0.1</v>
      </c>
      <c r="P630">
        <f t="shared" si="48"/>
        <v>376.89299999999997</v>
      </c>
    </row>
    <row r="631" spans="1:16" x14ac:dyDescent="0.25">
      <c r="A631" t="s">
        <v>667</v>
      </c>
      <c r="B631" s="1">
        <v>46012</v>
      </c>
      <c r="C631" t="s">
        <v>34</v>
      </c>
      <c r="D631" t="s">
        <v>35</v>
      </c>
      <c r="E631" t="s">
        <v>45</v>
      </c>
      <c r="F631" t="s">
        <v>28</v>
      </c>
      <c r="G631" t="s">
        <v>15</v>
      </c>
      <c r="H631">
        <v>85.54</v>
      </c>
      <c r="I631">
        <v>3</v>
      </c>
      <c r="J631">
        <v>256.62</v>
      </c>
      <c r="K631" t="str">
        <f t="shared" si="45"/>
        <v>Dec</v>
      </c>
      <c r="L631" t="str">
        <f t="shared" si="46"/>
        <v>Low</v>
      </c>
      <c r="M631" t="str">
        <f t="shared" si="47"/>
        <v>Low</v>
      </c>
      <c r="N631">
        <f t="shared" si="49"/>
        <v>-162.14999999999998</v>
      </c>
      <c r="O631" s="6">
        <v>0.1</v>
      </c>
      <c r="P631">
        <f t="shared" si="48"/>
        <v>230.958</v>
      </c>
    </row>
    <row r="632" spans="1:16" x14ac:dyDescent="0.25">
      <c r="A632" t="s">
        <v>668</v>
      </c>
      <c r="B632" s="1">
        <v>45682</v>
      </c>
      <c r="C632" t="s">
        <v>38</v>
      </c>
      <c r="D632" t="s">
        <v>12</v>
      </c>
      <c r="E632" t="s">
        <v>41</v>
      </c>
      <c r="F632" t="s">
        <v>14</v>
      </c>
      <c r="G632" t="s">
        <v>36</v>
      </c>
      <c r="H632">
        <v>186.94</v>
      </c>
      <c r="I632">
        <v>13</v>
      </c>
      <c r="J632">
        <v>2430.2199999999998</v>
      </c>
      <c r="K632" t="str">
        <f t="shared" si="45"/>
        <v>Jan</v>
      </c>
      <c r="L632" t="str">
        <f t="shared" si="46"/>
        <v>High</v>
      </c>
      <c r="M632" t="str">
        <f t="shared" si="47"/>
        <v>Good</v>
      </c>
      <c r="N632">
        <f t="shared" si="49"/>
        <v>2173.6</v>
      </c>
      <c r="O632" s="6">
        <v>0.1</v>
      </c>
      <c r="P632">
        <f t="shared" si="48"/>
        <v>2187.1979999999999</v>
      </c>
    </row>
    <row r="633" spans="1:16" x14ac:dyDescent="0.25">
      <c r="A633" t="s">
        <v>669</v>
      </c>
      <c r="B633" s="1">
        <v>45910</v>
      </c>
      <c r="C633" t="s">
        <v>34</v>
      </c>
      <c r="D633" t="s">
        <v>55</v>
      </c>
      <c r="E633" t="s">
        <v>41</v>
      </c>
      <c r="F633" t="s">
        <v>19</v>
      </c>
      <c r="G633" t="s">
        <v>36</v>
      </c>
      <c r="H633">
        <v>226.95</v>
      </c>
      <c r="I633">
        <v>13</v>
      </c>
      <c r="J633">
        <v>2950.35</v>
      </c>
      <c r="K633" t="str">
        <f t="shared" si="45"/>
        <v>Sep</v>
      </c>
      <c r="L633" t="str">
        <f t="shared" si="46"/>
        <v>High</v>
      </c>
      <c r="M633" t="str">
        <f t="shared" si="47"/>
        <v>Good</v>
      </c>
      <c r="N633">
        <f t="shared" si="49"/>
        <v>520.13000000000011</v>
      </c>
      <c r="O633" s="6">
        <v>0.1</v>
      </c>
      <c r="P633">
        <f t="shared" si="48"/>
        <v>2655.3150000000001</v>
      </c>
    </row>
    <row r="634" spans="1:16" x14ac:dyDescent="0.25">
      <c r="A634" t="s">
        <v>670</v>
      </c>
      <c r="B634" s="1">
        <v>45953</v>
      </c>
      <c r="C634" t="s">
        <v>30</v>
      </c>
      <c r="D634" t="s">
        <v>31</v>
      </c>
      <c r="E634" t="s">
        <v>45</v>
      </c>
      <c r="F634" t="s">
        <v>39</v>
      </c>
      <c r="G634" t="s">
        <v>15</v>
      </c>
      <c r="H634">
        <v>142.57</v>
      </c>
      <c r="I634">
        <v>8</v>
      </c>
      <c r="J634">
        <v>1140.56</v>
      </c>
      <c r="K634" t="str">
        <f t="shared" si="45"/>
        <v>Oct</v>
      </c>
      <c r="L634" t="str">
        <f t="shared" si="46"/>
        <v>Low</v>
      </c>
      <c r="M634" t="str">
        <f t="shared" si="47"/>
        <v>Average</v>
      </c>
      <c r="N634">
        <f t="shared" si="49"/>
        <v>-1809.79</v>
      </c>
      <c r="O634" s="6">
        <v>0.1</v>
      </c>
      <c r="P634">
        <f t="shared" si="48"/>
        <v>1026.5039999999999</v>
      </c>
    </row>
    <row r="635" spans="1:16" x14ac:dyDescent="0.25">
      <c r="A635" t="s">
        <v>671</v>
      </c>
      <c r="B635" s="1">
        <v>45808</v>
      </c>
      <c r="C635" t="s">
        <v>34</v>
      </c>
      <c r="D635" t="s">
        <v>35</v>
      </c>
      <c r="E635" t="s">
        <v>45</v>
      </c>
      <c r="F635" t="s">
        <v>19</v>
      </c>
      <c r="G635" t="s">
        <v>36</v>
      </c>
      <c r="H635">
        <v>147.06</v>
      </c>
      <c r="I635">
        <v>1</v>
      </c>
      <c r="J635">
        <v>147.06</v>
      </c>
      <c r="K635" t="str">
        <f t="shared" si="45"/>
        <v>May</v>
      </c>
      <c r="L635" t="str">
        <f t="shared" si="46"/>
        <v>Low</v>
      </c>
      <c r="M635" t="str">
        <f t="shared" si="47"/>
        <v>Low</v>
      </c>
      <c r="N635">
        <f t="shared" si="49"/>
        <v>-993.5</v>
      </c>
      <c r="O635" s="6">
        <v>0.1</v>
      </c>
      <c r="P635">
        <f t="shared" si="48"/>
        <v>132.35400000000001</v>
      </c>
    </row>
    <row r="636" spans="1:16" x14ac:dyDescent="0.25">
      <c r="A636" t="s">
        <v>672</v>
      </c>
      <c r="B636" s="1">
        <v>45745</v>
      </c>
      <c r="C636" t="s">
        <v>30</v>
      </c>
      <c r="D636" t="s">
        <v>12</v>
      </c>
      <c r="E636" t="s">
        <v>45</v>
      </c>
      <c r="F636" t="s">
        <v>42</v>
      </c>
      <c r="G636" t="s">
        <v>15</v>
      </c>
      <c r="H636">
        <v>53.58</v>
      </c>
      <c r="I636">
        <v>13</v>
      </c>
      <c r="J636">
        <v>696.54</v>
      </c>
      <c r="K636" t="str">
        <f t="shared" si="45"/>
        <v>Mar</v>
      </c>
      <c r="L636" t="str">
        <f t="shared" si="46"/>
        <v>Low</v>
      </c>
      <c r="M636" t="str">
        <f t="shared" si="47"/>
        <v>Average</v>
      </c>
      <c r="N636">
        <f t="shared" si="49"/>
        <v>549.48</v>
      </c>
      <c r="O636" s="6">
        <v>0.1</v>
      </c>
      <c r="P636">
        <f t="shared" si="48"/>
        <v>626.88599999999997</v>
      </c>
    </row>
    <row r="637" spans="1:16" x14ac:dyDescent="0.25">
      <c r="A637" t="s">
        <v>673</v>
      </c>
      <c r="B637" s="1">
        <v>45831</v>
      </c>
      <c r="C637" t="s">
        <v>25</v>
      </c>
      <c r="D637" t="s">
        <v>31</v>
      </c>
      <c r="E637" t="s">
        <v>27</v>
      </c>
      <c r="F637" t="s">
        <v>19</v>
      </c>
      <c r="G637" t="s">
        <v>36</v>
      </c>
      <c r="H637">
        <v>128.43</v>
      </c>
      <c r="I637">
        <v>20</v>
      </c>
      <c r="J637">
        <v>2568.6</v>
      </c>
      <c r="K637" t="str">
        <f t="shared" si="45"/>
        <v>Jun</v>
      </c>
      <c r="L637" t="str">
        <f t="shared" si="46"/>
        <v>High</v>
      </c>
      <c r="M637" t="str">
        <f t="shared" si="47"/>
        <v>Good</v>
      </c>
      <c r="N637">
        <f t="shared" si="49"/>
        <v>1872.06</v>
      </c>
      <c r="O637" s="6">
        <v>0.1</v>
      </c>
      <c r="P637">
        <f t="shared" si="48"/>
        <v>2311.7399999999998</v>
      </c>
    </row>
    <row r="638" spans="1:16" x14ac:dyDescent="0.25">
      <c r="A638" t="s">
        <v>674</v>
      </c>
      <c r="B638" s="1">
        <v>45992</v>
      </c>
      <c r="C638" t="s">
        <v>25</v>
      </c>
      <c r="D638" t="s">
        <v>31</v>
      </c>
      <c r="E638" t="s">
        <v>23</v>
      </c>
      <c r="F638" t="s">
        <v>19</v>
      </c>
      <c r="G638" t="s">
        <v>15</v>
      </c>
      <c r="H638">
        <v>147.18</v>
      </c>
      <c r="I638">
        <v>6</v>
      </c>
      <c r="J638">
        <v>883.08</v>
      </c>
      <c r="K638" t="str">
        <f t="shared" si="45"/>
        <v>Dec</v>
      </c>
      <c r="L638" t="str">
        <f t="shared" si="46"/>
        <v>Low</v>
      </c>
      <c r="M638" t="str">
        <f t="shared" si="47"/>
        <v>Average</v>
      </c>
      <c r="N638">
        <f t="shared" si="49"/>
        <v>-1685.52</v>
      </c>
      <c r="O638" s="6">
        <v>0.1</v>
      </c>
      <c r="P638">
        <f t="shared" si="48"/>
        <v>794.77200000000005</v>
      </c>
    </row>
    <row r="639" spans="1:16" x14ac:dyDescent="0.25">
      <c r="A639" t="s">
        <v>675</v>
      </c>
      <c r="B639" s="1">
        <v>45827</v>
      </c>
      <c r="C639" t="s">
        <v>30</v>
      </c>
      <c r="D639" t="s">
        <v>31</v>
      </c>
      <c r="E639" t="s">
        <v>27</v>
      </c>
      <c r="F639" t="s">
        <v>42</v>
      </c>
      <c r="G639" t="s">
        <v>20</v>
      </c>
      <c r="H639">
        <v>83.34</v>
      </c>
      <c r="I639">
        <v>7</v>
      </c>
      <c r="J639">
        <v>583.38</v>
      </c>
      <c r="K639" t="str">
        <f t="shared" si="45"/>
        <v>Jun</v>
      </c>
      <c r="L639" t="str">
        <f t="shared" si="46"/>
        <v>Low</v>
      </c>
      <c r="M639" t="str">
        <f t="shared" si="47"/>
        <v>Average</v>
      </c>
      <c r="N639">
        <f t="shared" si="49"/>
        <v>-299.70000000000005</v>
      </c>
      <c r="O639" s="6">
        <v>0.1</v>
      </c>
      <c r="P639">
        <f t="shared" si="48"/>
        <v>525.04200000000003</v>
      </c>
    </row>
    <row r="640" spans="1:16" x14ac:dyDescent="0.25">
      <c r="A640" t="s">
        <v>676</v>
      </c>
      <c r="B640" s="1">
        <v>45934</v>
      </c>
      <c r="C640" t="s">
        <v>17</v>
      </c>
      <c r="D640" t="s">
        <v>35</v>
      </c>
      <c r="E640" t="s">
        <v>13</v>
      </c>
      <c r="F640" t="s">
        <v>14</v>
      </c>
      <c r="G640" t="s">
        <v>15</v>
      </c>
      <c r="H640">
        <v>89.23</v>
      </c>
      <c r="I640">
        <v>9</v>
      </c>
      <c r="J640">
        <v>803.07</v>
      </c>
      <c r="K640" t="str">
        <f t="shared" si="45"/>
        <v>Oct</v>
      </c>
      <c r="L640" t="str">
        <f t="shared" si="46"/>
        <v>Low</v>
      </c>
      <c r="M640" t="str">
        <f t="shared" si="47"/>
        <v>Average</v>
      </c>
      <c r="N640">
        <f t="shared" si="49"/>
        <v>219.69000000000005</v>
      </c>
      <c r="O640" s="6">
        <v>0.1</v>
      </c>
      <c r="P640">
        <f t="shared" si="48"/>
        <v>722.76300000000003</v>
      </c>
    </row>
    <row r="641" spans="1:16" x14ac:dyDescent="0.25">
      <c r="A641" t="s">
        <v>677</v>
      </c>
      <c r="B641" s="1">
        <v>45683</v>
      </c>
      <c r="C641" t="s">
        <v>25</v>
      </c>
      <c r="D641" t="s">
        <v>55</v>
      </c>
      <c r="E641" t="s">
        <v>41</v>
      </c>
      <c r="F641" t="s">
        <v>14</v>
      </c>
      <c r="G641" t="s">
        <v>15</v>
      </c>
      <c r="H641">
        <v>113</v>
      </c>
      <c r="I641">
        <v>13</v>
      </c>
      <c r="J641">
        <v>1469</v>
      </c>
      <c r="K641" t="str">
        <f t="shared" si="45"/>
        <v>Jan</v>
      </c>
      <c r="L641" t="str">
        <f t="shared" si="46"/>
        <v>Low</v>
      </c>
      <c r="M641" t="str">
        <f t="shared" si="47"/>
        <v>Average</v>
      </c>
      <c r="N641">
        <f t="shared" si="49"/>
        <v>665.93</v>
      </c>
      <c r="O641" s="6">
        <v>0.1</v>
      </c>
      <c r="P641">
        <f t="shared" si="48"/>
        <v>1322.1000000000001</v>
      </c>
    </row>
    <row r="642" spans="1:16" x14ac:dyDescent="0.25">
      <c r="A642" t="s">
        <v>678</v>
      </c>
      <c r="B642" s="1">
        <v>45842</v>
      </c>
      <c r="C642" t="s">
        <v>38</v>
      </c>
      <c r="D642" t="s">
        <v>22</v>
      </c>
      <c r="E642" t="s">
        <v>13</v>
      </c>
      <c r="F642" t="s">
        <v>39</v>
      </c>
      <c r="G642" t="s">
        <v>20</v>
      </c>
      <c r="H642">
        <v>34.42</v>
      </c>
      <c r="I642">
        <v>1</v>
      </c>
      <c r="J642">
        <v>34.42</v>
      </c>
      <c r="K642" t="str">
        <f t="shared" ref="K642:K705" si="50">TEXT(B642,"MMM")</f>
        <v>Jul</v>
      </c>
      <c r="L642" t="str">
        <f t="shared" ref="L642:L705" si="51">IF(J642&gt;2000,"High","Low")</f>
        <v>Low</v>
      </c>
      <c r="M642" t="str">
        <f t="shared" ref="M642:M705" si="52">IF(J642&gt;3000,"Excellent",
 IF(J642&gt;1500,"Good",
 IF(J642&gt;500,"Average","Low")))</f>
        <v>Low</v>
      </c>
      <c r="N642">
        <f t="shared" si="49"/>
        <v>-1434.58</v>
      </c>
      <c r="O642" s="6">
        <v>0.1</v>
      </c>
      <c r="P642">
        <f t="shared" ref="P642:P705" si="53">J642*(1-O642)</f>
        <v>30.978000000000002</v>
      </c>
    </row>
    <row r="643" spans="1:16" x14ac:dyDescent="0.25">
      <c r="A643" t="s">
        <v>679</v>
      </c>
      <c r="B643" s="1">
        <v>45978</v>
      </c>
      <c r="C643" t="s">
        <v>38</v>
      </c>
      <c r="D643" t="s">
        <v>26</v>
      </c>
      <c r="E643" t="s">
        <v>45</v>
      </c>
      <c r="F643" t="s">
        <v>19</v>
      </c>
      <c r="G643" t="s">
        <v>15</v>
      </c>
      <c r="H643">
        <v>100.86</v>
      </c>
      <c r="I643">
        <v>20</v>
      </c>
      <c r="J643">
        <v>2017.2</v>
      </c>
      <c r="K643" t="str">
        <f t="shared" si="50"/>
        <v>Nov</v>
      </c>
      <c r="L643" t="str">
        <f t="shared" si="51"/>
        <v>High</v>
      </c>
      <c r="M643" t="str">
        <f t="shared" si="52"/>
        <v>Good</v>
      </c>
      <c r="N643">
        <f t="shared" ref="N643:N706" si="54">J643-J642</f>
        <v>1982.78</v>
      </c>
      <c r="O643" s="6">
        <v>0.1</v>
      </c>
      <c r="P643">
        <f t="shared" si="53"/>
        <v>1815.48</v>
      </c>
    </row>
    <row r="644" spans="1:16" x14ac:dyDescent="0.25">
      <c r="A644" t="s">
        <v>680</v>
      </c>
      <c r="B644" s="1">
        <v>45745</v>
      </c>
      <c r="C644" t="s">
        <v>11</v>
      </c>
      <c r="D644" t="s">
        <v>31</v>
      </c>
      <c r="E644" t="s">
        <v>45</v>
      </c>
      <c r="F644" t="s">
        <v>32</v>
      </c>
      <c r="G644" t="s">
        <v>36</v>
      </c>
      <c r="H644">
        <v>76.52</v>
      </c>
      <c r="I644">
        <v>10</v>
      </c>
      <c r="J644">
        <v>765.2</v>
      </c>
      <c r="K644" t="str">
        <f t="shared" si="50"/>
        <v>Mar</v>
      </c>
      <c r="L644" t="str">
        <f t="shared" si="51"/>
        <v>Low</v>
      </c>
      <c r="M644" t="str">
        <f t="shared" si="52"/>
        <v>Average</v>
      </c>
      <c r="N644">
        <f t="shared" si="54"/>
        <v>-1252</v>
      </c>
      <c r="O644" s="6">
        <v>0.1</v>
      </c>
      <c r="P644">
        <f t="shared" si="53"/>
        <v>688.68000000000006</v>
      </c>
    </row>
    <row r="645" spans="1:16" x14ac:dyDescent="0.25">
      <c r="A645" t="s">
        <v>681</v>
      </c>
      <c r="B645" s="1">
        <v>45899</v>
      </c>
      <c r="C645" t="s">
        <v>17</v>
      </c>
      <c r="D645" t="s">
        <v>35</v>
      </c>
      <c r="E645" t="s">
        <v>45</v>
      </c>
      <c r="F645" t="s">
        <v>28</v>
      </c>
      <c r="G645" t="s">
        <v>20</v>
      </c>
      <c r="H645">
        <v>102.05</v>
      </c>
      <c r="I645">
        <v>16</v>
      </c>
      <c r="J645">
        <v>1632.8</v>
      </c>
      <c r="K645" t="str">
        <f t="shared" si="50"/>
        <v>Aug</v>
      </c>
      <c r="L645" t="str">
        <f t="shared" si="51"/>
        <v>Low</v>
      </c>
      <c r="M645" t="str">
        <f t="shared" si="52"/>
        <v>Good</v>
      </c>
      <c r="N645">
        <f t="shared" si="54"/>
        <v>867.59999999999991</v>
      </c>
      <c r="O645" s="6">
        <v>0.1</v>
      </c>
      <c r="P645">
        <f t="shared" si="53"/>
        <v>1469.52</v>
      </c>
    </row>
    <row r="646" spans="1:16" x14ac:dyDescent="0.25">
      <c r="A646" t="s">
        <v>682</v>
      </c>
      <c r="B646" s="1">
        <v>45856</v>
      </c>
      <c r="C646" t="s">
        <v>34</v>
      </c>
      <c r="D646" t="s">
        <v>31</v>
      </c>
      <c r="E646" t="s">
        <v>13</v>
      </c>
      <c r="F646" t="s">
        <v>14</v>
      </c>
      <c r="G646" t="s">
        <v>36</v>
      </c>
      <c r="H646">
        <v>56.35</v>
      </c>
      <c r="I646">
        <v>6</v>
      </c>
      <c r="J646">
        <v>338.1</v>
      </c>
      <c r="K646" t="str">
        <f t="shared" si="50"/>
        <v>Jul</v>
      </c>
      <c r="L646" t="str">
        <f t="shared" si="51"/>
        <v>Low</v>
      </c>
      <c r="M646" t="str">
        <f t="shared" si="52"/>
        <v>Low</v>
      </c>
      <c r="N646">
        <f t="shared" si="54"/>
        <v>-1294.6999999999998</v>
      </c>
      <c r="O646" s="6">
        <v>0.1</v>
      </c>
      <c r="P646">
        <f t="shared" si="53"/>
        <v>304.29000000000002</v>
      </c>
    </row>
    <row r="647" spans="1:16" x14ac:dyDescent="0.25">
      <c r="A647" t="s">
        <v>683</v>
      </c>
      <c r="B647" s="1">
        <v>45680</v>
      </c>
      <c r="C647" t="s">
        <v>38</v>
      </c>
      <c r="D647" t="s">
        <v>31</v>
      </c>
      <c r="E647" t="s">
        <v>13</v>
      </c>
      <c r="F647" t="s">
        <v>14</v>
      </c>
      <c r="G647" t="s">
        <v>36</v>
      </c>
      <c r="H647">
        <v>225.92</v>
      </c>
      <c r="I647">
        <v>9</v>
      </c>
      <c r="J647">
        <v>2033.28</v>
      </c>
      <c r="K647" t="str">
        <f t="shared" si="50"/>
        <v>Jan</v>
      </c>
      <c r="L647" t="str">
        <f t="shared" si="51"/>
        <v>High</v>
      </c>
      <c r="M647" t="str">
        <f t="shared" si="52"/>
        <v>Good</v>
      </c>
      <c r="N647">
        <f t="shared" si="54"/>
        <v>1695.1799999999998</v>
      </c>
      <c r="O647" s="6">
        <v>0.1</v>
      </c>
      <c r="P647">
        <f t="shared" si="53"/>
        <v>1829.952</v>
      </c>
    </row>
    <row r="648" spans="1:16" x14ac:dyDescent="0.25">
      <c r="A648" t="s">
        <v>684</v>
      </c>
      <c r="B648" s="1">
        <v>45946</v>
      </c>
      <c r="C648" t="s">
        <v>30</v>
      </c>
      <c r="D648" t="s">
        <v>12</v>
      </c>
      <c r="E648" t="s">
        <v>27</v>
      </c>
      <c r="F648" t="s">
        <v>19</v>
      </c>
      <c r="G648" t="s">
        <v>15</v>
      </c>
      <c r="H648">
        <v>160.59</v>
      </c>
      <c r="I648">
        <v>2</v>
      </c>
      <c r="J648">
        <v>321.18</v>
      </c>
      <c r="K648" t="str">
        <f t="shared" si="50"/>
        <v>Oct</v>
      </c>
      <c r="L648" t="str">
        <f t="shared" si="51"/>
        <v>Low</v>
      </c>
      <c r="M648" t="str">
        <f t="shared" si="52"/>
        <v>Low</v>
      </c>
      <c r="N648">
        <f t="shared" si="54"/>
        <v>-1712.1</v>
      </c>
      <c r="O648" s="6">
        <v>0.1</v>
      </c>
      <c r="P648">
        <f t="shared" si="53"/>
        <v>289.06200000000001</v>
      </c>
    </row>
    <row r="649" spans="1:16" x14ac:dyDescent="0.25">
      <c r="A649" t="s">
        <v>685</v>
      </c>
      <c r="B649" s="1">
        <v>46000</v>
      </c>
      <c r="C649" t="s">
        <v>25</v>
      </c>
      <c r="D649" t="s">
        <v>31</v>
      </c>
      <c r="E649" t="s">
        <v>18</v>
      </c>
      <c r="F649" t="s">
        <v>14</v>
      </c>
      <c r="G649" t="s">
        <v>20</v>
      </c>
      <c r="H649">
        <v>179.4</v>
      </c>
      <c r="I649">
        <v>12</v>
      </c>
      <c r="J649">
        <v>2152.8000000000002</v>
      </c>
      <c r="K649" t="str">
        <f t="shared" si="50"/>
        <v>Dec</v>
      </c>
      <c r="L649" t="str">
        <f t="shared" si="51"/>
        <v>High</v>
      </c>
      <c r="M649" t="str">
        <f t="shared" si="52"/>
        <v>Good</v>
      </c>
      <c r="N649">
        <f t="shared" si="54"/>
        <v>1831.6200000000001</v>
      </c>
      <c r="O649" s="6">
        <v>0.1</v>
      </c>
      <c r="P649">
        <f t="shared" si="53"/>
        <v>1937.5200000000002</v>
      </c>
    </row>
    <row r="650" spans="1:16" x14ac:dyDescent="0.25">
      <c r="A650" t="s">
        <v>686</v>
      </c>
      <c r="B650" s="1">
        <v>45689</v>
      </c>
      <c r="C650" t="s">
        <v>25</v>
      </c>
      <c r="D650" t="s">
        <v>31</v>
      </c>
      <c r="E650" t="s">
        <v>18</v>
      </c>
      <c r="F650" t="s">
        <v>28</v>
      </c>
      <c r="G650" t="s">
        <v>36</v>
      </c>
      <c r="H650">
        <v>203.62</v>
      </c>
      <c r="I650">
        <v>13</v>
      </c>
      <c r="J650">
        <v>2647.06</v>
      </c>
      <c r="K650" t="str">
        <f t="shared" si="50"/>
        <v>Feb</v>
      </c>
      <c r="L650" t="str">
        <f t="shared" si="51"/>
        <v>High</v>
      </c>
      <c r="M650" t="str">
        <f t="shared" si="52"/>
        <v>Good</v>
      </c>
      <c r="N650">
        <f t="shared" si="54"/>
        <v>494.25999999999976</v>
      </c>
      <c r="O650" s="6">
        <v>0.1</v>
      </c>
      <c r="P650">
        <f t="shared" si="53"/>
        <v>2382.3539999999998</v>
      </c>
    </row>
    <row r="651" spans="1:16" x14ac:dyDescent="0.25">
      <c r="A651" t="s">
        <v>687</v>
      </c>
      <c r="B651" s="1">
        <v>45951</v>
      </c>
      <c r="C651" t="s">
        <v>38</v>
      </c>
      <c r="D651" t="s">
        <v>35</v>
      </c>
      <c r="E651" t="s">
        <v>45</v>
      </c>
      <c r="F651" t="s">
        <v>61</v>
      </c>
      <c r="G651" t="s">
        <v>20</v>
      </c>
      <c r="H651">
        <v>139.66</v>
      </c>
      <c r="I651">
        <v>8</v>
      </c>
      <c r="J651">
        <v>1117.28</v>
      </c>
      <c r="K651" t="str">
        <f t="shared" si="50"/>
        <v>Oct</v>
      </c>
      <c r="L651" t="str">
        <f t="shared" si="51"/>
        <v>Low</v>
      </c>
      <c r="M651" t="str">
        <f t="shared" si="52"/>
        <v>Average</v>
      </c>
      <c r="N651">
        <f t="shared" si="54"/>
        <v>-1529.78</v>
      </c>
      <c r="O651" s="6">
        <v>0.1</v>
      </c>
      <c r="P651">
        <f t="shared" si="53"/>
        <v>1005.552</v>
      </c>
    </row>
    <row r="652" spans="1:16" x14ac:dyDescent="0.25">
      <c r="A652" t="s">
        <v>688</v>
      </c>
      <c r="B652" s="1">
        <v>45675</v>
      </c>
      <c r="C652" t="s">
        <v>25</v>
      </c>
      <c r="D652" t="s">
        <v>55</v>
      </c>
      <c r="E652" t="s">
        <v>18</v>
      </c>
      <c r="F652" t="s">
        <v>28</v>
      </c>
      <c r="G652" t="s">
        <v>20</v>
      </c>
      <c r="H652">
        <v>49.12</v>
      </c>
      <c r="I652">
        <v>17</v>
      </c>
      <c r="J652">
        <v>835.04</v>
      </c>
      <c r="K652" t="str">
        <f t="shared" si="50"/>
        <v>Jan</v>
      </c>
      <c r="L652" t="str">
        <f t="shared" si="51"/>
        <v>Low</v>
      </c>
      <c r="M652" t="str">
        <f t="shared" si="52"/>
        <v>Average</v>
      </c>
      <c r="N652">
        <f t="shared" si="54"/>
        <v>-282.24</v>
      </c>
      <c r="O652" s="6">
        <v>0.1</v>
      </c>
      <c r="P652">
        <f t="shared" si="53"/>
        <v>751.53599999999994</v>
      </c>
    </row>
    <row r="653" spans="1:16" x14ac:dyDescent="0.25">
      <c r="A653" t="s">
        <v>689</v>
      </c>
      <c r="B653" s="1">
        <v>45733</v>
      </c>
      <c r="C653" t="s">
        <v>38</v>
      </c>
      <c r="D653" t="s">
        <v>26</v>
      </c>
      <c r="E653" t="s">
        <v>23</v>
      </c>
      <c r="F653" t="s">
        <v>14</v>
      </c>
      <c r="G653" t="s">
        <v>15</v>
      </c>
      <c r="H653">
        <v>148.16</v>
      </c>
      <c r="I653">
        <v>4</v>
      </c>
      <c r="J653">
        <v>592.64</v>
      </c>
      <c r="K653" t="str">
        <f t="shared" si="50"/>
        <v>Mar</v>
      </c>
      <c r="L653" t="str">
        <f t="shared" si="51"/>
        <v>Low</v>
      </c>
      <c r="M653" t="str">
        <f t="shared" si="52"/>
        <v>Average</v>
      </c>
      <c r="N653">
        <f t="shared" si="54"/>
        <v>-242.39999999999998</v>
      </c>
      <c r="O653" s="6">
        <v>0.1</v>
      </c>
      <c r="P653">
        <f t="shared" si="53"/>
        <v>533.37599999999998</v>
      </c>
    </row>
    <row r="654" spans="1:16" x14ac:dyDescent="0.25">
      <c r="A654" t="s">
        <v>690</v>
      </c>
      <c r="B654" s="1">
        <v>45722</v>
      </c>
      <c r="C654" t="s">
        <v>38</v>
      </c>
      <c r="D654" t="s">
        <v>22</v>
      </c>
      <c r="E654" t="s">
        <v>27</v>
      </c>
      <c r="F654" t="s">
        <v>61</v>
      </c>
      <c r="G654" t="s">
        <v>15</v>
      </c>
      <c r="H654">
        <v>159.11000000000001</v>
      </c>
      <c r="I654">
        <v>2</v>
      </c>
      <c r="J654">
        <v>318.22000000000003</v>
      </c>
      <c r="K654" t="str">
        <f t="shared" si="50"/>
        <v>Mar</v>
      </c>
      <c r="L654" t="str">
        <f t="shared" si="51"/>
        <v>Low</v>
      </c>
      <c r="M654" t="str">
        <f t="shared" si="52"/>
        <v>Low</v>
      </c>
      <c r="N654">
        <f t="shared" si="54"/>
        <v>-274.41999999999996</v>
      </c>
      <c r="O654" s="6">
        <v>0.1</v>
      </c>
      <c r="P654">
        <f t="shared" si="53"/>
        <v>286.39800000000002</v>
      </c>
    </row>
    <row r="655" spans="1:16" x14ac:dyDescent="0.25">
      <c r="A655" t="s">
        <v>691</v>
      </c>
      <c r="B655" s="1">
        <v>45979</v>
      </c>
      <c r="C655" t="s">
        <v>25</v>
      </c>
      <c r="D655" t="s">
        <v>35</v>
      </c>
      <c r="E655" t="s">
        <v>13</v>
      </c>
      <c r="F655" t="s">
        <v>28</v>
      </c>
      <c r="G655" t="s">
        <v>15</v>
      </c>
      <c r="H655">
        <v>194</v>
      </c>
      <c r="I655">
        <v>5</v>
      </c>
      <c r="J655">
        <v>970</v>
      </c>
      <c r="K655" t="str">
        <f t="shared" si="50"/>
        <v>Nov</v>
      </c>
      <c r="L655" t="str">
        <f t="shared" si="51"/>
        <v>Low</v>
      </c>
      <c r="M655" t="str">
        <f t="shared" si="52"/>
        <v>Average</v>
      </c>
      <c r="N655">
        <f t="shared" si="54"/>
        <v>651.78</v>
      </c>
      <c r="O655" s="6">
        <v>0.1</v>
      </c>
      <c r="P655">
        <f t="shared" si="53"/>
        <v>873</v>
      </c>
    </row>
    <row r="656" spans="1:16" x14ac:dyDescent="0.25">
      <c r="A656" t="s">
        <v>692</v>
      </c>
      <c r="B656" s="1">
        <v>45702</v>
      </c>
      <c r="C656" t="s">
        <v>25</v>
      </c>
      <c r="D656" t="s">
        <v>31</v>
      </c>
      <c r="E656" t="s">
        <v>18</v>
      </c>
      <c r="F656" t="s">
        <v>32</v>
      </c>
      <c r="G656" t="s">
        <v>36</v>
      </c>
      <c r="H656">
        <v>124.97</v>
      </c>
      <c r="I656">
        <v>13</v>
      </c>
      <c r="J656">
        <v>1624.61</v>
      </c>
      <c r="K656" t="str">
        <f t="shared" si="50"/>
        <v>Feb</v>
      </c>
      <c r="L656" t="str">
        <f t="shared" si="51"/>
        <v>Low</v>
      </c>
      <c r="M656" t="str">
        <f t="shared" si="52"/>
        <v>Good</v>
      </c>
      <c r="N656">
        <f t="shared" si="54"/>
        <v>654.6099999999999</v>
      </c>
      <c r="O656" s="6">
        <v>0.1</v>
      </c>
      <c r="P656">
        <f t="shared" si="53"/>
        <v>1462.1489999999999</v>
      </c>
    </row>
    <row r="657" spans="1:16" x14ac:dyDescent="0.25">
      <c r="A657" t="s">
        <v>693</v>
      </c>
      <c r="B657" s="1">
        <v>45924</v>
      </c>
      <c r="C657" t="s">
        <v>11</v>
      </c>
      <c r="D657" t="s">
        <v>12</v>
      </c>
      <c r="E657" t="s">
        <v>18</v>
      </c>
      <c r="F657" t="s">
        <v>42</v>
      </c>
      <c r="G657" t="s">
        <v>20</v>
      </c>
      <c r="H657">
        <v>58.07</v>
      </c>
      <c r="I657">
        <v>15</v>
      </c>
      <c r="J657">
        <v>871.05</v>
      </c>
      <c r="K657" t="str">
        <f t="shared" si="50"/>
        <v>Sep</v>
      </c>
      <c r="L657" t="str">
        <f t="shared" si="51"/>
        <v>Low</v>
      </c>
      <c r="M657" t="str">
        <f t="shared" si="52"/>
        <v>Average</v>
      </c>
      <c r="N657">
        <f t="shared" si="54"/>
        <v>-753.56</v>
      </c>
      <c r="O657" s="6">
        <v>0.1</v>
      </c>
      <c r="P657">
        <f t="shared" si="53"/>
        <v>783.94499999999994</v>
      </c>
    </row>
    <row r="658" spans="1:16" x14ac:dyDescent="0.25">
      <c r="A658" t="s">
        <v>694</v>
      </c>
      <c r="B658" s="1">
        <v>45872</v>
      </c>
      <c r="C658" t="s">
        <v>38</v>
      </c>
      <c r="D658" t="s">
        <v>26</v>
      </c>
      <c r="E658" t="s">
        <v>23</v>
      </c>
      <c r="F658" t="s">
        <v>42</v>
      </c>
      <c r="G658" t="s">
        <v>20</v>
      </c>
      <c r="H658">
        <v>92.43</v>
      </c>
      <c r="I658">
        <v>4</v>
      </c>
      <c r="J658">
        <v>369.72</v>
      </c>
      <c r="K658" t="str">
        <f t="shared" si="50"/>
        <v>Aug</v>
      </c>
      <c r="L658" t="str">
        <f t="shared" si="51"/>
        <v>Low</v>
      </c>
      <c r="M658" t="str">
        <f t="shared" si="52"/>
        <v>Low</v>
      </c>
      <c r="N658">
        <f t="shared" si="54"/>
        <v>-501.32999999999993</v>
      </c>
      <c r="O658" s="6">
        <v>0.1</v>
      </c>
      <c r="P658">
        <f t="shared" si="53"/>
        <v>332.74800000000005</v>
      </c>
    </row>
    <row r="659" spans="1:16" x14ac:dyDescent="0.25">
      <c r="A659" t="s">
        <v>695</v>
      </c>
      <c r="B659" s="1">
        <v>45956</v>
      </c>
      <c r="C659" t="s">
        <v>11</v>
      </c>
      <c r="D659" t="s">
        <v>55</v>
      </c>
      <c r="E659" t="s">
        <v>45</v>
      </c>
      <c r="F659" t="s">
        <v>39</v>
      </c>
      <c r="G659" t="s">
        <v>36</v>
      </c>
      <c r="H659">
        <v>109.88</v>
      </c>
      <c r="I659">
        <v>4</v>
      </c>
      <c r="J659">
        <v>439.52</v>
      </c>
      <c r="K659" t="str">
        <f t="shared" si="50"/>
        <v>Oct</v>
      </c>
      <c r="L659" t="str">
        <f t="shared" si="51"/>
        <v>Low</v>
      </c>
      <c r="M659" t="str">
        <f t="shared" si="52"/>
        <v>Low</v>
      </c>
      <c r="N659">
        <f t="shared" si="54"/>
        <v>69.799999999999955</v>
      </c>
      <c r="O659" s="6">
        <v>0.1</v>
      </c>
      <c r="P659">
        <f t="shared" si="53"/>
        <v>395.56799999999998</v>
      </c>
    </row>
    <row r="660" spans="1:16" x14ac:dyDescent="0.25">
      <c r="A660" t="s">
        <v>696</v>
      </c>
      <c r="B660" s="1">
        <v>45932</v>
      </c>
      <c r="C660" t="s">
        <v>38</v>
      </c>
      <c r="D660" t="s">
        <v>35</v>
      </c>
      <c r="E660" t="s">
        <v>41</v>
      </c>
      <c r="F660" t="s">
        <v>28</v>
      </c>
      <c r="G660" t="s">
        <v>36</v>
      </c>
      <c r="H660">
        <v>172.1</v>
      </c>
      <c r="I660">
        <v>12</v>
      </c>
      <c r="J660">
        <v>2065.1999999999998</v>
      </c>
      <c r="K660" t="str">
        <f t="shared" si="50"/>
        <v>Oct</v>
      </c>
      <c r="L660" t="str">
        <f t="shared" si="51"/>
        <v>High</v>
      </c>
      <c r="M660" t="str">
        <f t="shared" si="52"/>
        <v>Good</v>
      </c>
      <c r="N660">
        <f t="shared" si="54"/>
        <v>1625.6799999999998</v>
      </c>
      <c r="O660" s="6">
        <v>0.1</v>
      </c>
      <c r="P660">
        <f t="shared" si="53"/>
        <v>1858.6799999999998</v>
      </c>
    </row>
    <row r="661" spans="1:16" x14ac:dyDescent="0.25">
      <c r="A661" t="s">
        <v>697</v>
      </c>
      <c r="B661" s="1">
        <v>45950</v>
      </c>
      <c r="C661" t="s">
        <v>38</v>
      </c>
      <c r="D661" t="s">
        <v>22</v>
      </c>
      <c r="E661" t="s">
        <v>23</v>
      </c>
      <c r="F661" t="s">
        <v>32</v>
      </c>
      <c r="G661" t="s">
        <v>36</v>
      </c>
      <c r="H661">
        <v>155.57</v>
      </c>
      <c r="I661">
        <v>20</v>
      </c>
      <c r="J661">
        <v>3111.4</v>
      </c>
      <c r="K661" t="str">
        <f t="shared" si="50"/>
        <v>Oct</v>
      </c>
      <c r="L661" t="str">
        <f t="shared" si="51"/>
        <v>High</v>
      </c>
      <c r="M661" t="str">
        <f t="shared" si="52"/>
        <v>Excellent</v>
      </c>
      <c r="N661">
        <f t="shared" si="54"/>
        <v>1046.2000000000003</v>
      </c>
      <c r="O661" s="6">
        <v>0.1</v>
      </c>
      <c r="P661">
        <f t="shared" si="53"/>
        <v>2800.26</v>
      </c>
    </row>
    <row r="662" spans="1:16" x14ac:dyDescent="0.25">
      <c r="A662" t="s">
        <v>698</v>
      </c>
      <c r="B662" s="1">
        <v>45731</v>
      </c>
      <c r="C662" t="s">
        <v>25</v>
      </c>
      <c r="D662" t="s">
        <v>12</v>
      </c>
      <c r="E662" t="s">
        <v>27</v>
      </c>
      <c r="F662" t="s">
        <v>61</v>
      </c>
      <c r="G662" t="s">
        <v>15</v>
      </c>
      <c r="H662">
        <v>108.34</v>
      </c>
      <c r="I662">
        <v>20</v>
      </c>
      <c r="J662">
        <v>2166.8000000000002</v>
      </c>
      <c r="K662" t="str">
        <f t="shared" si="50"/>
        <v>Mar</v>
      </c>
      <c r="L662" t="str">
        <f t="shared" si="51"/>
        <v>High</v>
      </c>
      <c r="M662" t="str">
        <f t="shared" si="52"/>
        <v>Good</v>
      </c>
      <c r="N662">
        <f t="shared" si="54"/>
        <v>-944.59999999999991</v>
      </c>
      <c r="O662" s="6">
        <v>0.1</v>
      </c>
      <c r="P662">
        <f t="shared" si="53"/>
        <v>1950.1200000000001</v>
      </c>
    </row>
    <row r="663" spans="1:16" x14ac:dyDescent="0.25">
      <c r="A663" t="s">
        <v>699</v>
      </c>
      <c r="B663" s="1">
        <v>45860</v>
      </c>
      <c r="C663" t="s">
        <v>17</v>
      </c>
      <c r="D663" t="s">
        <v>26</v>
      </c>
      <c r="E663" t="s">
        <v>45</v>
      </c>
      <c r="F663" t="s">
        <v>28</v>
      </c>
      <c r="G663" t="s">
        <v>36</v>
      </c>
      <c r="H663">
        <v>247.03</v>
      </c>
      <c r="I663">
        <v>11</v>
      </c>
      <c r="J663">
        <v>2717.33</v>
      </c>
      <c r="K663" t="str">
        <f t="shared" si="50"/>
        <v>Jul</v>
      </c>
      <c r="L663" t="str">
        <f t="shared" si="51"/>
        <v>High</v>
      </c>
      <c r="M663" t="str">
        <f t="shared" si="52"/>
        <v>Good</v>
      </c>
      <c r="N663">
        <f t="shared" si="54"/>
        <v>550.52999999999975</v>
      </c>
      <c r="O663" s="6">
        <v>0.1</v>
      </c>
      <c r="P663">
        <f t="shared" si="53"/>
        <v>2445.5970000000002</v>
      </c>
    </row>
    <row r="664" spans="1:16" x14ac:dyDescent="0.25">
      <c r="A664" t="s">
        <v>700</v>
      </c>
      <c r="B664" s="1">
        <v>45795</v>
      </c>
      <c r="C664" t="s">
        <v>11</v>
      </c>
      <c r="D664" t="s">
        <v>35</v>
      </c>
      <c r="E664" t="s">
        <v>13</v>
      </c>
      <c r="F664" t="s">
        <v>32</v>
      </c>
      <c r="G664" t="s">
        <v>36</v>
      </c>
      <c r="H664">
        <v>163.27000000000001</v>
      </c>
      <c r="I664">
        <v>12</v>
      </c>
      <c r="J664">
        <v>1959.24</v>
      </c>
      <c r="K664" t="str">
        <f t="shared" si="50"/>
        <v>May</v>
      </c>
      <c r="L664" t="str">
        <f t="shared" si="51"/>
        <v>Low</v>
      </c>
      <c r="M664" t="str">
        <f t="shared" si="52"/>
        <v>Good</v>
      </c>
      <c r="N664">
        <f t="shared" si="54"/>
        <v>-758.08999999999992</v>
      </c>
      <c r="O664" s="6">
        <v>0.1</v>
      </c>
      <c r="P664">
        <f t="shared" si="53"/>
        <v>1763.316</v>
      </c>
    </row>
    <row r="665" spans="1:16" x14ac:dyDescent="0.25">
      <c r="A665" t="s">
        <v>701</v>
      </c>
      <c r="B665" s="1">
        <v>45909</v>
      </c>
      <c r="C665" t="s">
        <v>30</v>
      </c>
      <c r="D665" t="s">
        <v>26</v>
      </c>
      <c r="E665" t="s">
        <v>13</v>
      </c>
      <c r="F665" t="s">
        <v>28</v>
      </c>
      <c r="G665" t="s">
        <v>36</v>
      </c>
      <c r="H665">
        <v>82.19</v>
      </c>
      <c r="I665">
        <v>4</v>
      </c>
      <c r="J665">
        <v>328.76</v>
      </c>
      <c r="K665" t="str">
        <f t="shared" si="50"/>
        <v>Sep</v>
      </c>
      <c r="L665" t="str">
        <f t="shared" si="51"/>
        <v>Low</v>
      </c>
      <c r="M665" t="str">
        <f t="shared" si="52"/>
        <v>Low</v>
      </c>
      <c r="N665">
        <f t="shared" si="54"/>
        <v>-1630.48</v>
      </c>
      <c r="O665" s="6">
        <v>0.1</v>
      </c>
      <c r="P665">
        <f t="shared" si="53"/>
        <v>295.88400000000001</v>
      </c>
    </row>
    <row r="666" spans="1:16" x14ac:dyDescent="0.25">
      <c r="A666" t="s">
        <v>702</v>
      </c>
      <c r="B666" s="1">
        <v>45822</v>
      </c>
      <c r="C666" t="s">
        <v>17</v>
      </c>
      <c r="D666" t="s">
        <v>31</v>
      </c>
      <c r="E666" t="s">
        <v>18</v>
      </c>
      <c r="F666" t="s">
        <v>28</v>
      </c>
      <c r="G666" t="s">
        <v>15</v>
      </c>
      <c r="H666">
        <v>52.39</v>
      </c>
      <c r="I666">
        <v>9</v>
      </c>
      <c r="J666">
        <v>471.51</v>
      </c>
      <c r="K666" t="str">
        <f t="shared" si="50"/>
        <v>Jun</v>
      </c>
      <c r="L666" t="str">
        <f t="shared" si="51"/>
        <v>Low</v>
      </c>
      <c r="M666" t="str">
        <f t="shared" si="52"/>
        <v>Low</v>
      </c>
      <c r="N666">
        <f t="shared" si="54"/>
        <v>142.75</v>
      </c>
      <c r="O666" s="6">
        <v>0.1</v>
      </c>
      <c r="P666">
        <f t="shared" si="53"/>
        <v>424.35899999999998</v>
      </c>
    </row>
    <row r="667" spans="1:16" x14ac:dyDescent="0.25">
      <c r="A667" t="s">
        <v>703</v>
      </c>
      <c r="B667" s="1">
        <v>45754</v>
      </c>
      <c r="C667" t="s">
        <v>30</v>
      </c>
      <c r="D667" t="s">
        <v>31</v>
      </c>
      <c r="E667" t="s">
        <v>27</v>
      </c>
      <c r="F667" t="s">
        <v>61</v>
      </c>
      <c r="G667" t="s">
        <v>20</v>
      </c>
      <c r="H667">
        <v>63.63</v>
      </c>
      <c r="I667">
        <v>15</v>
      </c>
      <c r="J667">
        <v>954.45</v>
      </c>
      <c r="K667" t="str">
        <f t="shared" si="50"/>
        <v>Apr</v>
      </c>
      <c r="L667" t="str">
        <f t="shared" si="51"/>
        <v>Low</v>
      </c>
      <c r="M667" t="str">
        <f t="shared" si="52"/>
        <v>Average</v>
      </c>
      <c r="N667">
        <f t="shared" si="54"/>
        <v>482.94000000000005</v>
      </c>
      <c r="O667" s="6">
        <v>0.1</v>
      </c>
      <c r="P667">
        <f t="shared" si="53"/>
        <v>859.00500000000011</v>
      </c>
    </row>
    <row r="668" spans="1:16" x14ac:dyDescent="0.25">
      <c r="A668" t="s">
        <v>704</v>
      </c>
      <c r="B668" s="1">
        <v>45849</v>
      </c>
      <c r="C668" t="s">
        <v>25</v>
      </c>
      <c r="D668" t="s">
        <v>26</v>
      </c>
      <c r="E668" t="s">
        <v>45</v>
      </c>
      <c r="F668" t="s">
        <v>32</v>
      </c>
      <c r="G668" t="s">
        <v>20</v>
      </c>
      <c r="H668">
        <v>84.11</v>
      </c>
      <c r="I668">
        <v>2</v>
      </c>
      <c r="J668">
        <v>168.22</v>
      </c>
      <c r="K668" t="str">
        <f t="shared" si="50"/>
        <v>Jul</v>
      </c>
      <c r="L668" t="str">
        <f t="shared" si="51"/>
        <v>Low</v>
      </c>
      <c r="M668" t="str">
        <f t="shared" si="52"/>
        <v>Low</v>
      </c>
      <c r="N668">
        <f t="shared" si="54"/>
        <v>-786.23</v>
      </c>
      <c r="O668" s="6">
        <v>0.1</v>
      </c>
      <c r="P668">
        <f t="shared" si="53"/>
        <v>151.398</v>
      </c>
    </row>
    <row r="669" spans="1:16" x14ac:dyDescent="0.25">
      <c r="A669" t="s">
        <v>705</v>
      </c>
      <c r="B669" s="1">
        <v>45917</v>
      </c>
      <c r="C669" t="s">
        <v>30</v>
      </c>
      <c r="D669" t="s">
        <v>55</v>
      </c>
      <c r="E669" t="s">
        <v>18</v>
      </c>
      <c r="F669" t="s">
        <v>19</v>
      </c>
      <c r="G669" t="s">
        <v>15</v>
      </c>
      <c r="H669">
        <v>65.349999999999994</v>
      </c>
      <c r="I669">
        <v>13</v>
      </c>
      <c r="J669">
        <v>849.55</v>
      </c>
      <c r="K669" t="str">
        <f t="shared" si="50"/>
        <v>Sep</v>
      </c>
      <c r="L669" t="str">
        <f t="shared" si="51"/>
        <v>Low</v>
      </c>
      <c r="M669" t="str">
        <f t="shared" si="52"/>
        <v>Average</v>
      </c>
      <c r="N669">
        <f t="shared" si="54"/>
        <v>681.32999999999993</v>
      </c>
      <c r="O669" s="6">
        <v>0.1</v>
      </c>
      <c r="P669">
        <f t="shared" si="53"/>
        <v>764.59500000000003</v>
      </c>
    </row>
    <row r="670" spans="1:16" x14ac:dyDescent="0.25">
      <c r="A670" t="s">
        <v>706</v>
      </c>
      <c r="B670" s="1">
        <v>45756</v>
      </c>
      <c r="C670" t="s">
        <v>11</v>
      </c>
      <c r="D670" t="s">
        <v>26</v>
      </c>
      <c r="E670" t="s">
        <v>45</v>
      </c>
      <c r="F670" t="s">
        <v>61</v>
      </c>
      <c r="G670" t="s">
        <v>15</v>
      </c>
      <c r="H670">
        <v>71.040000000000006</v>
      </c>
      <c r="I670">
        <v>7</v>
      </c>
      <c r="J670">
        <v>497.28</v>
      </c>
      <c r="K670" t="str">
        <f t="shared" si="50"/>
        <v>Apr</v>
      </c>
      <c r="L670" t="str">
        <f t="shared" si="51"/>
        <v>Low</v>
      </c>
      <c r="M670" t="str">
        <f t="shared" si="52"/>
        <v>Low</v>
      </c>
      <c r="N670">
        <f t="shared" si="54"/>
        <v>-352.27</v>
      </c>
      <c r="O670" s="6">
        <v>0.1</v>
      </c>
      <c r="P670">
        <f t="shared" si="53"/>
        <v>447.55199999999996</v>
      </c>
    </row>
    <row r="671" spans="1:16" x14ac:dyDescent="0.25">
      <c r="A671" t="s">
        <v>707</v>
      </c>
      <c r="B671" s="1">
        <v>45842</v>
      </c>
      <c r="C671" t="s">
        <v>34</v>
      </c>
      <c r="D671" t="s">
        <v>35</v>
      </c>
      <c r="E671" t="s">
        <v>41</v>
      </c>
      <c r="F671" t="s">
        <v>42</v>
      </c>
      <c r="G671" t="s">
        <v>36</v>
      </c>
      <c r="H671">
        <v>92.72</v>
      </c>
      <c r="I671">
        <v>7</v>
      </c>
      <c r="J671">
        <v>649.04</v>
      </c>
      <c r="K671" t="str">
        <f t="shared" si="50"/>
        <v>Jul</v>
      </c>
      <c r="L671" t="str">
        <f t="shared" si="51"/>
        <v>Low</v>
      </c>
      <c r="M671" t="str">
        <f t="shared" si="52"/>
        <v>Average</v>
      </c>
      <c r="N671">
        <f t="shared" si="54"/>
        <v>151.76</v>
      </c>
      <c r="O671" s="6">
        <v>0.1</v>
      </c>
      <c r="P671">
        <f t="shared" si="53"/>
        <v>584.13599999999997</v>
      </c>
    </row>
    <row r="672" spans="1:16" x14ac:dyDescent="0.25">
      <c r="A672" t="s">
        <v>708</v>
      </c>
      <c r="B672" s="1">
        <v>45983</v>
      </c>
      <c r="C672" t="s">
        <v>17</v>
      </c>
      <c r="D672" t="s">
        <v>22</v>
      </c>
      <c r="E672" t="s">
        <v>23</v>
      </c>
      <c r="F672" t="s">
        <v>32</v>
      </c>
      <c r="G672" t="s">
        <v>36</v>
      </c>
      <c r="H672">
        <v>68.14</v>
      </c>
      <c r="I672">
        <v>4</v>
      </c>
      <c r="J672">
        <v>272.56</v>
      </c>
      <c r="K672" t="str">
        <f t="shared" si="50"/>
        <v>Nov</v>
      </c>
      <c r="L672" t="str">
        <f t="shared" si="51"/>
        <v>Low</v>
      </c>
      <c r="M672" t="str">
        <f t="shared" si="52"/>
        <v>Low</v>
      </c>
      <c r="N672">
        <f t="shared" si="54"/>
        <v>-376.47999999999996</v>
      </c>
      <c r="O672" s="6">
        <v>0.1</v>
      </c>
      <c r="P672">
        <f t="shared" si="53"/>
        <v>245.304</v>
      </c>
    </row>
    <row r="673" spans="1:16" x14ac:dyDescent="0.25">
      <c r="A673" t="s">
        <v>709</v>
      </c>
      <c r="B673" s="1">
        <v>45962</v>
      </c>
      <c r="C673" t="s">
        <v>30</v>
      </c>
      <c r="D673" t="s">
        <v>31</v>
      </c>
      <c r="E673" t="s">
        <v>18</v>
      </c>
      <c r="F673" t="s">
        <v>42</v>
      </c>
      <c r="G673" t="s">
        <v>36</v>
      </c>
      <c r="H673">
        <v>227.29</v>
      </c>
      <c r="I673">
        <v>15</v>
      </c>
      <c r="J673">
        <v>3409.35</v>
      </c>
      <c r="K673" t="str">
        <f t="shared" si="50"/>
        <v>Nov</v>
      </c>
      <c r="L673" t="str">
        <f t="shared" si="51"/>
        <v>High</v>
      </c>
      <c r="M673" t="str">
        <f t="shared" si="52"/>
        <v>Excellent</v>
      </c>
      <c r="N673">
        <f t="shared" si="54"/>
        <v>3136.79</v>
      </c>
      <c r="O673" s="6">
        <v>0.1</v>
      </c>
      <c r="P673">
        <f t="shared" si="53"/>
        <v>3068.415</v>
      </c>
    </row>
    <row r="674" spans="1:16" x14ac:dyDescent="0.25">
      <c r="A674" t="s">
        <v>710</v>
      </c>
      <c r="B674" s="1">
        <v>45834</v>
      </c>
      <c r="C674" t="s">
        <v>34</v>
      </c>
      <c r="D674" t="s">
        <v>12</v>
      </c>
      <c r="E674" t="s">
        <v>27</v>
      </c>
      <c r="F674" t="s">
        <v>19</v>
      </c>
      <c r="G674" t="s">
        <v>36</v>
      </c>
      <c r="H674">
        <v>47.65</v>
      </c>
      <c r="I674">
        <v>6</v>
      </c>
      <c r="J674">
        <v>285.89999999999998</v>
      </c>
      <c r="K674" t="str">
        <f t="shared" si="50"/>
        <v>Jun</v>
      </c>
      <c r="L674" t="str">
        <f t="shared" si="51"/>
        <v>Low</v>
      </c>
      <c r="M674" t="str">
        <f t="shared" si="52"/>
        <v>Low</v>
      </c>
      <c r="N674">
        <f t="shared" si="54"/>
        <v>-3123.45</v>
      </c>
      <c r="O674" s="6">
        <v>0.1</v>
      </c>
      <c r="P674">
        <f t="shared" si="53"/>
        <v>257.31</v>
      </c>
    </row>
    <row r="675" spans="1:16" x14ac:dyDescent="0.25">
      <c r="A675" t="s">
        <v>711</v>
      </c>
      <c r="B675" s="1">
        <v>45672</v>
      </c>
      <c r="C675" t="s">
        <v>11</v>
      </c>
      <c r="D675" t="s">
        <v>26</v>
      </c>
      <c r="E675" t="s">
        <v>18</v>
      </c>
      <c r="F675" t="s">
        <v>39</v>
      </c>
      <c r="G675" t="s">
        <v>15</v>
      </c>
      <c r="H675">
        <v>145.38999999999999</v>
      </c>
      <c r="I675">
        <v>13</v>
      </c>
      <c r="J675">
        <v>1890.07</v>
      </c>
      <c r="K675" t="str">
        <f t="shared" si="50"/>
        <v>Jan</v>
      </c>
      <c r="L675" t="str">
        <f t="shared" si="51"/>
        <v>Low</v>
      </c>
      <c r="M675" t="str">
        <f t="shared" si="52"/>
        <v>Good</v>
      </c>
      <c r="N675">
        <f t="shared" si="54"/>
        <v>1604.17</v>
      </c>
      <c r="O675" s="6">
        <v>0.1</v>
      </c>
      <c r="P675">
        <f t="shared" si="53"/>
        <v>1701.0629999999999</v>
      </c>
    </row>
    <row r="676" spans="1:16" x14ac:dyDescent="0.25">
      <c r="A676" t="s">
        <v>712</v>
      </c>
      <c r="B676" s="1">
        <v>45771</v>
      </c>
      <c r="C676" t="s">
        <v>17</v>
      </c>
      <c r="D676" t="s">
        <v>26</v>
      </c>
      <c r="E676" t="s">
        <v>13</v>
      </c>
      <c r="F676" t="s">
        <v>28</v>
      </c>
      <c r="G676" t="s">
        <v>36</v>
      </c>
      <c r="H676">
        <v>120.29</v>
      </c>
      <c r="I676">
        <v>8</v>
      </c>
      <c r="J676">
        <v>962.32</v>
      </c>
      <c r="K676" t="str">
        <f t="shared" si="50"/>
        <v>Apr</v>
      </c>
      <c r="L676" t="str">
        <f t="shared" si="51"/>
        <v>Low</v>
      </c>
      <c r="M676" t="str">
        <f t="shared" si="52"/>
        <v>Average</v>
      </c>
      <c r="N676">
        <f t="shared" si="54"/>
        <v>-927.74999999999989</v>
      </c>
      <c r="O676" s="6">
        <v>0.1</v>
      </c>
      <c r="P676">
        <f t="shared" si="53"/>
        <v>866.08800000000008</v>
      </c>
    </row>
    <row r="677" spans="1:16" x14ac:dyDescent="0.25">
      <c r="A677" t="s">
        <v>713</v>
      </c>
      <c r="B677" s="1">
        <v>45920</v>
      </c>
      <c r="C677" t="s">
        <v>17</v>
      </c>
      <c r="D677" t="s">
        <v>22</v>
      </c>
      <c r="E677" t="s">
        <v>41</v>
      </c>
      <c r="F677" t="s">
        <v>14</v>
      </c>
      <c r="G677" t="s">
        <v>20</v>
      </c>
      <c r="H677">
        <v>246.12</v>
      </c>
      <c r="I677">
        <v>1</v>
      </c>
      <c r="J677">
        <v>246.12</v>
      </c>
      <c r="K677" t="str">
        <f t="shared" si="50"/>
        <v>Sep</v>
      </c>
      <c r="L677" t="str">
        <f t="shared" si="51"/>
        <v>Low</v>
      </c>
      <c r="M677" t="str">
        <f t="shared" si="52"/>
        <v>Low</v>
      </c>
      <c r="N677">
        <f t="shared" si="54"/>
        <v>-716.2</v>
      </c>
      <c r="O677" s="6">
        <v>0.1</v>
      </c>
      <c r="P677">
        <f t="shared" si="53"/>
        <v>221.50800000000001</v>
      </c>
    </row>
    <row r="678" spans="1:16" x14ac:dyDescent="0.25">
      <c r="A678" t="s">
        <v>714</v>
      </c>
      <c r="B678" s="1">
        <v>45746</v>
      </c>
      <c r="C678" t="s">
        <v>11</v>
      </c>
      <c r="D678" t="s">
        <v>26</v>
      </c>
      <c r="E678" t="s">
        <v>13</v>
      </c>
      <c r="F678" t="s">
        <v>42</v>
      </c>
      <c r="G678" t="s">
        <v>36</v>
      </c>
      <c r="H678">
        <v>54.65</v>
      </c>
      <c r="I678">
        <v>20</v>
      </c>
      <c r="J678">
        <v>1093</v>
      </c>
      <c r="K678" t="str">
        <f t="shared" si="50"/>
        <v>Mar</v>
      </c>
      <c r="L678" t="str">
        <f t="shared" si="51"/>
        <v>Low</v>
      </c>
      <c r="M678" t="str">
        <f t="shared" si="52"/>
        <v>Average</v>
      </c>
      <c r="N678">
        <f t="shared" si="54"/>
        <v>846.88</v>
      </c>
      <c r="O678" s="6">
        <v>0.1</v>
      </c>
      <c r="P678">
        <f t="shared" si="53"/>
        <v>983.7</v>
      </c>
    </row>
    <row r="679" spans="1:16" x14ac:dyDescent="0.25">
      <c r="A679" t="s">
        <v>715</v>
      </c>
      <c r="B679" s="1">
        <v>46022</v>
      </c>
      <c r="C679" t="s">
        <v>38</v>
      </c>
      <c r="D679" t="s">
        <v>31</v>
      </c>
      <c r="E679" t="s">
        <v>13</v>
      </c>
      <c r="F679" t="s">
        <v>61</v>
      </c>
      <c r="G679" t="s">
        <v>36</v>
      </c>
      <c r="H679">
        <v>117.53</v>
      </c>
      <c r="I679">
        <v>9</v>
      </c>
      <c r="J679">
        <v>1057.77</v>
      </c>
      <c r="K679" t="str">
        <f t="shared" si="50"/>
        <v>Dec</v>
      </c>
      <c r="L679" t="str">
        <f t="shared" si="51"/>
        <v>Low</v>
      </c>
      <c r="M679" t="str">
        <f t="shared" si="52"/>
        <v>Average</v>
      </c>
      <c r="N679">
        <f t="shared" si="54"/>
        <v>-35.230000000000018</v>
      </c>
      <c r="O679" s="6">
        <v>0.1</v>
      </c>
      <c r="P679">
        <f t="shared" si="53"/>
        <v>951.99300000000005</v>
      </c>
    </row>
    <row r="680" spans="1:16" x14ac:dyDescent="0.25">
      <c r="A680" t="s">
        <v>716</v>
      </c>
      <c r="B680" s="1">
        <v>45769</v>
      </c>
      <c r="C680" t="s">
        <v>34</v>
      </c>
      <c r="D680" t="s">
        <v>12</v>
      </c>
      <c r="E680" t="s">
        <v>18</v>
      </c>
      <c r="F680" t="s">
        <v>39</v>
      </c>
      <c r="G680" t="s">
        <v>20</v>
      </c>
      <c r="H680">
        <v>243.28</v>
      </c>
      <c r="I680">
        <v>15</v>
      </c>
      <c r="J680">
        <v>3649.2</v>
      </c>
      <c r="K680" t="str">
        <f t="shared" si="50"/>
        <v>Apr</v>
      </c>
      <c r="L680" t="str">
        <f t="shared" si="51"/>
        <v>High</v>
      </c>
      <c r="M680" t="str">
        <f t="shared" si="52"/>
        <v>Excellent</v>
      </c>
      <c r="N680">
        <f t="shared" si="54"/>
        <v>2591.4299999999998</v>
      </c>
      <c r="O680" s="6">
        <v>0.1</v>
      </c>
      <c r="P680">
        <f t="shared" si="53"/>
        <v>3284.2799999999997</v>
      </c>
    </row>
    <row r="681" spans="1:16" x14ac:dyDescent="0.25">
      <c r="A681" t="s">
        <v>717</v>
      </c>
      <c r="B681" s="1">
        <v>45861</v>
      </c>
      <c r="C681" t="s">
        <v>11</v>
      </c>
      <c r="D681" t="s">
        <v>22</v>
      </c>
      <c r="E681" t="s">
        <v>18</v>
      </c>
      <c r="F681" t="s">
        <v>28</v>
      </c>
      <c r="G681" t="s">
        <v>36</v>
      </c>
      <c r="H681">
        <v>220.41</v>
      </c>
      <c r="I681">
        <v>19</v>
      </c>
      <c r="J681">
        <v>4187.79</v>
      </c>
      <c r="K681" t="str">
        <f t="shared" si="50"/>
        <v>Jul</v>
      </c>
      <c r="L681" t="str">
        <f t="shared" si="51"/>
        <v>High</v>
      </c>
      <c r="M681" t="str">
        <f t="shared" si="52"/>
        <v>Excellent</v>
      </c>
      <c r="N681">
        <f t="shared" si="54"/>
        <v>538.59000000000015</v>
      </c>
      <c r="O681" s="6">
        <v>0.1</v>
      </c>
      <c r="P681">
        <f t="shared" si="53"/>
        <v>3769.011</v>
      </c>
    </row>
    <row r="682" spans="1:16" x14ac:dyDescent="0.25">
      <c r="A682" t="s">
        <v>718</v>
      </c>
      <c r="B682" s="1">
        <v>45945</v>
      </c>
      <c r="C682" t="s">
        <v>25</v>
      </c>
      <c r="D682" t="s">
        <v>35</v>
      </c>
      <c r="E682" t="s">
        <v>13</v>
      </c>
      <c r="F682" t="s">
        <v>28</v>
      </c>
      <c r="G682" t="s">
        <v>15</v>
      </c>
      <c r="H682">
        <v>209.76</v>
      </c>
      <c r="I682">
        <v>20</v>
      </c>
      <c r="J682">
        <v>4195.2</v>
      </c>
      <c r="K682" t="str">
        <f t="shared" si="50"/>
        <v>Oct</v>
      </c>
      <c r="L682" t="str">
        <f t="shared" si="51"/>
        <v>High</v>
      </c>
      <c r="M682" t="str">
        <f t="shared" si="52"/>
        <v>Excellent</v>
      </c>
      <c r="N682">
        <f t="shared" si="54"/>
        <v>7.4099999999998545</v>
      </c>
      <c r="O682" s="6">
        <v>0.1</v>
      </c>
      <c r="P682">
        <f t="shared" si="53"/>
        <v>3775.68</v>
      </c>
    </row>
    <row r="683" spans="1:16" x14ac:dyDescent="0.25">
      <c r="A683" t="s">
        <v>719</v>
      </c>
      <c r="B683" s="1">
        <v>45904</v>
      </c>
      <c r="C683" t="s">
        <v>34</v>
      </c>
      <c r="D683" t="s">
        <v>35</v>
      </c>
      <c r="E683" t="s">
        <v>27</v>
      </c>
      <c r="F683" t="s">
        <v>32</v>
      </c>
      <c r="G683" t="s">
        <v>36</v>
      </c>
      <c r="H683">
        <v>86.74</v>
      </c>
      <c r="I683">
        <v>3</v>
      </c>
      <c r="J683">
        <v>260.22000000000003</v>
      </c>
      <c r="K683" t="str">
        <f t="shared" si="50"/>
        <v>Sep</v>
      </c>
      <c r="L683" t="str">
        <f t="shared" si="51"/>
        <v>Low</v>
      </c>
      <c r="M683" t="str">
        <f t="shared" si="52"/>
        <v>Low</v>
      </c>
      <c r="N683">
        <f t="shared" si="54"/>
        <v>-3934.9799999999996</v>
      </c>
      <c r="O683" s="6">
        <v>0.1</v>
      </c>
      <c r="P683">
        <f t="shared" si="53"/>
        <v>234.19800000000004</v>
      </c>
    </row>
    <row r="684" spans="1:16" x14ac:dyDescent="0.25">
      <c r="A684" t="s">
        <v>720</v>
      </c>
      <c r="B684" s="1">
        <v>45791</v>
      </c>
      <c r="C684" t="s">
        <v>30</v>
      </c>
      <c r="D684" t="s">
        <v>26</v>
      </c>
      <c r="E684" t="s">
        <v>18</v>
      </c>
      <c r="F684" t="s">
        <v>39</v>
      </c>
      <c r="G684" t="s">
        <v>15</v>
      </c>
      <c r="H684">
        <v>67.599999999999994</v>
      </c>
      <c r="I684">
        <v>10</v>
      </c>
      <c r="J684">
        <v>676</v>
      </c>
      <c r="K684" t="str">
        <f t="shared" si="50"/>
        <v>May</v>
      </c>
      <c r="L684" t="str">
        <f t="shared" si="51"/>
        <v>Low</v>
      </c>
      <c r="M684" t="str">
        <f t="shared" si="52"/>
        <v>Average</v>
      </c>
      <c r="N684">
        <f t="shared" si="54"/>
        <v>415.78</v>
      </c>
      <c r="O684" s="6">
        <v>0.1</v>
      </c>
      <c r="P684">
        <f t="shared" si="53"/>
        <v>608.4</v>
      </c>
    </row>
    <row r="685" spans="1:16" x14ac:dyDescent="0.25">
      <c r="A685" t="s">
        <v>721</v>
      </c>
      <c r="B685" s="1">
        <v>45687</v>
      </c>
      <c r="C685" t="s">
        <v>38</v>
      </c>
      <c r="D685" t="s">
        <v>12</v>
      </c>
      <c r="E685" t="s">
        <v>13</v>
      </c>
      <c r="F685" t="s">
        <v>28</v>
      </c>
      <c r="G685" t="s">
        <v>15</v>
      </c>
      <c r="H685">
        <v>177.1</v>
      </c>
      <c r="I685">
        <v>20</v>
      </c>
      <c r="J685">
        <v>3542</v>
      </c>
      <c r="K685" t="str">
        <f t="shared" si="50"/>
        <v>Jan</v>
      </c>
      <c r="L685" t="str">
        <f t="shared" si="51"/>
        <v>High</v>
      </c>
      <c r="M685" t="str">
        <f t="shared" si="52"/>
        <v>Excellent</v>
      </c>
      <c r="N685">
        <f t="shared" si="54"/>
        <v>2866</v>
      </c>
      <c r="O685" s="6">
        <v>0.1</v>
      </c>
      <c r="P685">
        <f t="shared" si="53"/>
        <v>3187.8</v>
      </c>
    </row>
    <row r="686" spans="1:16" x14ac:dyDescent="0.25">
      <c r="A686" t="s">
        <v>722</v>
      </c>
      <c r="B686" s="1">
        <v>45671</v>
      </c>
      <c r="C686" t="s">
        <v>34</v>
      </c>
      <c r="D686" t="s">
        <v>35</v>
      </c>
      <c r="E686" t="s">
        <v>41</v>
      </c>
      <c r="F686" t="s">
        <v>61</v>
      </c>
      <c r="G686" t="s">
        <v>36</v>
      </c>
      <c r="H686">
        <v>234.46</v>
      </c>
      <c r="I686">
        <v>16</v>
      </c>
      <c r="J686">
        <v>3751.36</v>
      </c>
      <c r="K686" t="str">
        <f t="shared" si="50"/>
        <v>Jan</v>
      </c>
      <c r="L686" t="str">
        <f t="shared" si="51"/>
        <v>High</v>
      </c>
      <c r="M686" t="str">
        <f t="shared" si="52"/>
        <v>Excellent</v>
      </c>
      <c r="N686">
        <f t="shared" si="54"/>
        <v>209.36000000000013</v>
      </c>
      <c r="O686" s="6">
        <v>0.1</v>
      </c>
      <c r="P686">
        <f t="shared" si="53"/>
        <v>3376.2240000000002</v>
      </c>
    </row>
    <row r="687" spans="1:16" x14ac:dyDescent="0.25">
      <c r="A687" t="s">
        <v>723</v>
      </c>
      <c r="B687" s="1">
        <v>45676</v>
      </c>
      <c r="C687" t="s">
        <v>17</v>
      </c>
      <c r="D687" t="s">
        <v>55</v>
      </c>
      <c r="E687" t="s">
        <v>23</v>
      </c>
      <c r="F687" t="s">
        <v>32</v>
      </c>
      <c r="G687" t="s">
        <v>20</v>
      </c>
      <c r="H687">
        <v>152.49</v>
      </c>
      <c r="I687">
        <v>19</v>
      </c>
      <c r="J687">
        <v>2897.31</v>
      </c>
      <c r="K687" t="str">
        <f t="shared" si="50"/>
        <v>Jan</v>
      </c>
      <c r="L687" t="str">
        <f t="shared" si="51"/>
        <v>High</v>
      </c>
      <c r="M687" t="str">
        <f t="shared" si="52"/>
        <v>Good</v>
      </c>
      <c r="N687">
        <f t="shared" si="54"/>
        <v>-854.05000000000018</v>
      </c>
      <c r="O687" s="6">
        <v>0.1</v>
      </c>
      <c r="P687">
        <f t="shared" si="53"/>
        <v>2607.5790000000002</v>
      </c>
    </row>
    <row r="688" spans="1:16" x14ac:dyDescent="0.25">
      <c r="A688" t="s">
        <v>724</v>
      </c>
      <c r="B688" s="1">
        <v>45771</v>
      </c>
      <c r="C688" t="s">
        <v>17</v>
      </c>
      <c r="D688" t="s">
        <v>31</v>
      </c>
      <c r="E688" t="s">
        <v>27</v>
      </c>
      <c r="F688" t="s">
        <v>32</v>
      </c>
      <c r="G688" t="s">
        <v>20</v>
      </c>
      <c r="H688">
        <v>155.75</v>
      </c>
      <c r="I688">
        <v>18</v>
      </c>
      <c r="J688">
        <v>2803.5</v>
      </c>
      <c r="K688" t="str">
        <f t="shared" si="50"/>
        <v>Apr</v>
      </c>
      <c r="L688" t="str">
        <f t="shared" si="51"/>
        <v>High</v>
      </c>
      <c r="M688" t="str">
        <f t="shared" si="52"/>
        <v>Good</v>
      </c>
      <c r="N688">
        <f t="shared" si="54"/>
        <v>-93.809999999999945</v>
      </c>
      <c r="O688" s="6">
        <v>0.1</v>
      </c>
      <c r="P688">
        <f t="shared" si="53"/>
        <v>2523.15</v>
      </c>
    </row>
    <row r="689" spans="1:16" x14ac:dyDescent="0.25">
      <c r="A689" t="s">
        <v>725</v>
      </c>
      <c r="B689" s="1">
        <v>45811</v>
      </c>
      <c r="C689" t="s">
        <v>17</v>
      </c>
      <c r="D689" t="s">
        <v>55</v>
      </c>
      <c r="E689" t="s">
        <v>23</v>
      </c>
      <c r="F689" t="s">
        <v>32</v>
      </c>
      <c r="G689" t="s">
        <v>15</v>
      </c>
      <c r="H689">
        <v>91.6</v>
      </c>
      <c r="I689">
        <v>6</v>
      </c>
      <c r="J689">
        <v>549.6</v>
      </c>
      <c r="K689" t="str">
        <f t="shared" si="50"/>
        <v>Jun</v>
      </c>
      <c r="L689" t="str">
        <f t="shared" si="51"/>
        <v>Low</v>
      </c>
      <c r="M689" t="str">
        <f t="shared" si="52"/>
        <v>Average</v>
      </c>
      <c r="N689">
        <f t="shared" si="54"/>
        <v>-2253.9</v>
      </c>
      <c r="O689" s="6">
        <v>0.1</v>
      </c>
      <c r="P689">
        <f t="shared" si="53"/>
        <v>494.64000000000004</v>
      </c>
    </row>
    <row r="690" spans="1:16" x14ac:dyDescent="0.25">
      <c r="A690" t="s">
        <v>726</v>
      </c>
      <c r="B690" s="1">
        <v>45899</v>
      </c>
      <c r="C690" t="s">
        <v>17</v>
      </c>
      <c r="D690" t="s">
        <v>35</v>
      </c>
      <c r="E690" t="s">
        <v>27</v>
      </c>
      <c r="F690" t="s">
        <v>39</v>
      </c>
      <c r="G690" t="s">
        <v>20</v>
      </c>
      <c r="H690">
        <v>199.29</v>
      </c>
      <c r="I690">
        <v>5</v>
      </c>
      <c r="J690">
        <v>996.45</v>
      </c>
      <c r="K690" t="str">
        <f t="shared" si="50"/>
        <v>Aug</v>
      </c>
      <c r="L690" t="str">
        <f t="shared" si="51"/>
        <v>Low</v>
      </c>
      <c r="M690" t="str">
        <f t="shared" si="52"/>
        <v>Average</v>
      </c>
      <c r="N690">
        <f t="shared" si="54"/>
        <v>446.85</v>
      </c>
      <c r="O690" s="6">
        <v>0.1</v>
      </c>
      <c r="P690">
        <f t="shared" si="53"/>
        <v>896.80500000000006</v>
      </c>
    </row>
    <row r="691" spans="1:16" x14ac:dyDescent="0.25">
      <c r="A691" t="s">
        <v>727</v>
      </c>
      <c r="B691" s="1">
        <v>45751</v>
      </c>
      <c r="C691" t="s">
        <v>17</v>
      </c>
      <c r="D691" t="s">
        <v>22</v>
      </c>
      <c r="E691" t="s">
        <v>23</v>
      </c>
      <c r="F691" t="s">
        <v>32</v>
      </c>
      <c r="G691" t="s">
        <v>15</v>
      </c>
      <c r="H691">
        <v>71.150000000000006</v>
      </c>
      <c r="I691">
        <v>11</v>
      </c>
      <c r="J691">
        <v>782.65</v>
      </c>
      <c r="K691" t="str">
        <f t="shared" si="50"/>
        <v>Apr</v>
      </c>
      <c r="L691" t="str">
        <f t="shared" si="51"/>
        <v>Low</v>
      </c>
      <c r="M691" t="str">
        <f t="shared" si="52"/>
        <v>Average</v>
      </c>
      <c r="N691">
        <f t="shared" si="54"/>
        <v>-213.80000000000007</v>
      </c>
      <c r="O691" s="6">
        <v>0.1</v>
      </c>
      <c r="P691">
        <f t="shared" si="53"/>
        <v>704.38499999999999</v>
      </c>
    </row>
    <row r="692" spans="1:16" x14ac:dyDescent="0.25">
      <c r="A692" t="s">
        <v>728</v>
      </c>
      <c r="B692" s="1">
        <v>45815</v>
      </c>
      <c r="C692" t="s">
        <v>34</v>
      </c>
      <c r="D692" t="s">
        <v>35</v>
      </c>
      <c r="E692" t="s">
        <v>13</v>
      </c>
      <c r="F692" t="s">
        <v>42</v>
      </c>
      <c r="G692" t="s">
        <v>36</v>
      </c>
      <c r="H692">
        <v>101.21</v>
      </c>
      <c r="I692">
        <v>14</v>
      </c>
      <c r="J692">
        <v>1416.94</v>
      </c>
      <c r="K692" t="str">
        <f t="shared" si="50"/>
        <v>Jun</v>
      </c>
      <c r="L692" t="str">
        <f t="shared" si="51"/>
        <v>Low</v>
      </c>
      <c r="M692" t="str">
        <f t="shared" si="52"/>
        <v>Average</v>
      </c>
      <c r="N692">
        <f t="shared" si="54"/>
        <v>634.29000000000008</v>
      </c>
      <c r="O692" s="6">
        <v>0.1</v>
      </c>
      <c r="P692">
        <f t="shared" si="53"/>
        <v>1275.2460000000001</v>
      </c>
    </row>
    <row r="693" spans="1:16" x14ac:dyDescent="0.25">
      <c r="A693" t="s">
        <v>729</v>
      </c>
      <c r="B693" s="1">
        <v>45895</v>
      </c>
      <c r="C693" t="s">
        <v>38</v>
      </c>
      <c r="D693" t="s">
        <v>22</v>
      </c>
      <c r="E693" t="s">
        <v>27</v>
      </c>
      <c r="F693" t="s">
        <v>42</v>
      </c>
      <c r="G693" t="s">
        <v>20</v>
      </c>
      <c r="H693">
        <v>123.6</v>
      </c>
      <c r="I693">
        <v>4</v>
      </c>
      <c r="J693">
        <v>494.4</v>
      </c>
      <c r="K693" t="str">
        <f t="shared" si="50"/>
        <v>Aug</v>
      </c>
      <c r="L693" t="str">
        <f t="shared" si="51"/>
        <v>Low</v>
      </c>
      <c r="M693" t="str">
        <f t="shared" si="52"/>
        <v>Low</v>
      </c>
      <c r="N693">
        <f t="shared" si="54"/>
        <v>-922.54000000000008</v>
      </c>
      <c r="O693" s="6">
        <v>0.1</v>
      </c>
      <c r="P693">
        <f t="shared" si="53"/>
        <v>444.96</v>
      </c>
    </row>
    <row r="694" spans="1:16" x14ac:dyDescent="0.25">
      <c r="A694" t="s">
        <v>730</v>
      </c>
      <c r="B694" s="1">
        <v>45975</v>
      </c>
      <c r="C694" t="s">
        <v>38</v>
      </c>
      <c r="D694" t="s">
        <v>26</v>
      </c>
      <c r="E694" t="s">
        <v>18</v>
      </c>
      <c r="F694" t="s">
        <v>19</v>
      </c>
      <c r="G694" t="s">
        <v>20</v>
      </c>
      <c r="H694">
        <v>141.66999999999999</v>
      </c>
      <c r="I694">
        <v>3</v>
      </c>
      <c r="J694">
        <v>425.01</v>
      </c>
      <c r="K694" t="str">
        <f t="shared" si="50"/>
        <v>Nov</v>
      </c>
      <c r="L694" t="str">
        <f t="shared" si="51"/>
        <v>Low</v>
      </c>
      <c r="M694" t="str">
        <f t="shared" si="52"/>
        <v>Low</v>
      </c>
      <c r="N694">
        <f t="shared" si="54"/>
        <v>-69.389999999999986</v>
      </c>
      <c r="O694" s="6">
        <v>0.1</v>
      </c>
      <c r="P694">
        <f t="shared" si="53"/>
        <v>382.50900000000001</v>
      </c>
    </row>
    <row r="695" spans="1:16" x14ac:dyDescent="0.25">
      <c r="A695" t="s">
        <v>731</v>
      </c>
      <c r="B695" s="1">
        <v>45853</v>
      </c>
      <c r="C695" t="s">
        <v>34</v>
      </c>
      <c r="D695" t="s">
        <v>31</v>
      </c>
      <c r="E695" t="s">
        <v>45</v>
      </c>
      <c r="F695" t="s">
        <v>39</v>
      </c>
      <c r="G695" t="s">
        <v>15</v>
      </c>
      <c r="H695">
        <v>83.33</v>
      </c>
      <c r="I695">
        <v>17</v>
      </c>
      <c r="J695">
        <v>1416.61</v>
      </c>
      <c r="K695" t="str">
        <f t="shared" si="50"/>
        <v>Jul</v>
      </c>
      <c r="L695" t="str">
        <f t="shared" si="51"/>
        <v>Low</v>
      </c>
      <c r="M695" t="str">
        <f t="shared" si="52"/>
        <v>Average</v>
      </c>
      <c r="N695">
        <f t="shared" si="54"/>
        <v>991.59999999999991</v>
      </c>
      <c r="O695" s="6">
        <v>0.1</v>
      </c>
      <c r="P695">
        <f t="shared" si="53"/>
        <v>1274.9489999999998</v>
      </c>
    </row>
    <row r="696" spans="1:16" x14ac:dyDescent="0.25">
      <c r="A696" t="s">
        <v>732</v>
      </c>
      <c r="B696" s="1">
        <v>45728</v>
      </c>
      <c r="C696" t="s">
        <v>34</v>
      </c>
      <c r="D696" t="s">
        <v>31</v>
      </c>
      <c r="E696" t="s">
        <v>18</v>
      </c>
      <c r="F696" t="s">
        <v>61</v>
      </c>
      <c r="G696" t="s">
        <v>15</v>
      </c>
      <c r="H696">
        <v>55.26</v>
      </c>
      <c r="I696">
        <v>7</v>
      </c>
      <c r="J696">
        <v>386.82</v>
      </c>
      <c r="K696" t="str">
        <f t="shared" si="50"/>
        <v>Mar</v>
      </c>
      <c r="L696" t="str">
        <f t="shared" si="51"/>
        <v>Low</v>
      </c>
      <c r="M696" t="str">
        <f t="shared" si="52"/>
        <v>Low</v>
      </c>
      <c r="N696">
        <f t="shared" si="54"/>
        <v>-1029.79</v>
      </c>
      <c r="O696" s="6">
        <v>0.1</v>
      </c>
      <c r="P696">
        <f t="shared" si="53"/>
        <v>348.13799999999998</v>
      </c>
    </row>
    <row r="697" spans="1:16" x14ac:dyDescent="0.25">
      <c r="A697" t="s">
        <v>733</v>
      </c>
      <c r="B697" s="1">
        <v>45819</v>
      </c>
      <c r="C697" t="s">
        <v>11</v>
      </c>
      <c r="D697" t="s">
        <v>31</v>
      </c>
      <c r="E697" t="s">
        <v>13</v>
      </c>
      <c r="F697" t="s">
        <v>28</v>
      </c>
      <c r="G697" t="s">
        <v>15</v>
      </c>
      <c r="H697">
        <v>164.34</v>
      </c>
      <c r="I697">
        <v>6</v>
      </c>
      <c r="J697">
        <v>986.04</v>
      </c>
      <c r="K697" t="str">
        <f t="shared" si="50"/>
        <v>Jun</v>
      </c>
      <c r="L697" t="str">
        <f t="shared" si="51"/>
        <v>Low</v>
      </c>
      <c r="M697" t="str">
        <f t="shared" si="52"/>
        <v>Average</v>
      </c>
      <c r="N697">
        <f t="shared" si="54"/>
        <v>599.22</v>
      </c>
      <c r="O697" s="6">
        <v>0.1</v>
      </c>
      <c r="P697">
        <f t="shared" si="53"/>
        <v>887.43600000000004</v>
      </c>
    </row>
    <row r="698" spans="1:16" x14ac:dyDescent="0.25">
      <c r="A698" t="s">
        <v>734</v>
      </c>
      <c r="B698" s="1">
        <v>45818</v>
      </c>
      <c r="C698" t="s">
        <v>11</v>
      </c>
      <c r="D698" t="s">
        <v>31</v>
      </c>
      <c r="E698" t="s">
        <v>13</v>
      </c>
      <c r="F698" t="s">
        <v>14</v>
      </c>
      <c r="G698" t="s">
        <v>15</v>
      </c>
      <c r="H698">
        <v>93.5</v>
      </c>
      <c r="I698">
        <v>2</v>
      </c>
      <c r="J698">
        <v>187</v>
      </c>
      <c r="K698" t="str">
        <f t="shared" si="50"/>
        <v>Jun</v>
      </c>
      <c r="L698" t="str">
        <f t="shared" si="51"/>
        <v>Low</v>
      </c>
      <c r="M698" t="str">
        <f t="shared" si="52"/>
        <v>Low</v>
      </c>
      <c r="N698">
        <f t="shared" si="54"/>
        <v>-799.04</v>
      </c>
      <c r="O698" s="6">
        <v>0.1</v>
      </c>
      <c r="P698">
        <f t="shared" si="53"/>
        <v>168.3</v>
      </c>
    </row>
    <row r="699" spans="1:16" x14ac:dyDescent="0.25">
      <c r="A699" t="s">
        <v>735</v>
      </c>
      <c r="B699" s="1">
        <v>45953</v>
      </c>
      <c r="C699" t="s">
        <v>38</v>
      </c>
      <c r="D699" t="s">
        <v>22</v>
      </c>
      <c r="E699" t="s">
        <v>23</v>
      </c>
      <c r="F699" t="s">
        <v>42</v>
      </c>
      <c r="G699" t="s">
        <v>36</v>
      </c>
      <c r="H699">
        <v>157.87</v>
      </c>
      <c r="I699">
        <v>6</v>
      </c>
      <c r="J699">
        <v>947.22</v>
      </c>
      <c r="K699" t="str">
        <f t="shared" si="50"/>
        <v>Oct</v>
      </c>
      <c r="L699" t="str">
        <f t="shared" si="51"/>
        <v>Low</v>
      </c>
      <c r="M699" t="str">
        <f t="shared" si="52"/>
        <v>Average</v>
      </c>
      <c r="N699">
        <f t="shared" si="54"/>
        <v>760.22</v>
      </c>
      <c r="O699" s="6">
        <v>0.1</v>
      </c>
      <c r="P699">
        <f t="shared" si="53"/>
        <v>852.49800000000005</v>
      </c>
    </row>
    <row r="700" spans="1:16" x14ac:dyDescent="0.25">
      <c r="A700" t="s">
        <v>736</v>
      </c>
      <c r="B700" s="1">
        <v>45982</v>
      </c>
      <c r="C700" t="s">
        <v>38</v>
      </c>
      <c r="D700" t="s">
        <v>31</v>
      </c>
      <c r="E700" t="s">
        <v>41</v>
      </c>
      <c r="F700" t="s">
        <v>61</v>
      </c>
      <c r="G700" t="s">
        <v>15</v>
      </c>
      <c r="H700">
        <v>63.96</v>
      </c>
      <c r="I700">
        <v>14</v>
      </c>
      <c r="J700">
        <v>895.44</v>
      </c>
      <c r="K700" t="str">
        <f t="shared" si="50"/>
        <v>Nov</v>
      </c>
      <c r="L700" t="str">
        <f t="shared" si="51"/>
        <v>Low</v>
      </c>
      <c r="M700" t="str">
        <f t="shared" si="52"/>
        <v>Average</v>
      </c>
      <c r="N700">
        <f t="shared" si="54"/>
        <v>-51.779999999999973</v>
      </c>
      <c r="O700" s="6">
        <v>0.1</v>
      </c>
      <c r="P700">
        <f t="shared" si="53"/>
        <v>805.89600000000007</v>
      </c>
    </row>
    <row r="701" spans="1:16" x14ac:dyDescent="0.25">
      <c r="A701" t="s">
        <v>737</v>
      </c>
      <c r="B701" s="1">
        <v>45677</v>
      </c>
      <c r="C701" t="s">
        <v>30</v>
      </c>
      <c r="D701" t="s">
        <v>12</v>
      </c>
      <c r="E701" t="s">
        <v>13</v>
      </c>
      <c r="F701" t="s">
        <v>19</v>
      </c>
      <c r="G701" t="s">
        <v>36</v>
      </c>
      <c r="H701">
        <v>135.85</v>
      </c>
      <c r="I701">
        <v>18</v>
      </c>
      <c r="J701">
        <v>2445.3000000000002</v>
      </c>
      <c r="K701" t="str">
        <f t="shared" si="50"/>
        <v>Jan</v>
      </c>
      <c r="L701" t="str">
        <f t="shared" si="51"/>
        <v>High</v>
      </c>
      <c r="M701" t="str">
        <f t="shared" si="52"/>
        <v>Good</v>
      </c>
      <c r="N701">
        <f t="shared" si="54"/>
        <v>1549.8600000000001</v>
      </c>
      <c r="O701" s="6">
        <v>0.1</v>
      </c>
      <c r="P701">
        <f t="shared" si="53"/>
        <v>2200.7700000000004</v>
      </c>
    </row>
    <row r="702" spans="1:16" x14ac:dyDescent="0.25">
      <c r="A702" t="s">
        <v>738</v>
      </c>
      <c r="B702" s="1">
        <v>45929</v>
      </c>
      <c r="C702" t="s">
        <v>11</v>
      </c>
      <c r="D702" t="s">
        <v>12</v>
      </c>
      <c r="E702" t="s">
        <v>45</v>
      </c>
      <c r="F702" t="s">
        <v>28</v>
      </c>
      <c r="G702" t="s">
        <v>20</v>
      </c>
      <c r="H702">
        <v>147.16999999999999</v>
      </c>
      <c r="I702">
        <v>7</v>
      </c>
      <c r="J702">
        <v>1030.19</v>
      </c>
      <c r="K702" t="str">
        <f t="shared" si="50"/>
        <v>Sep</v>
      </c>
      <c r="L702" t="str">
        <f t="shared" si="51"/>
        <v>Low</v>
      </c>
      <c r="M702" t="str">
        <f t="shared" si="52"/>
        <v>Average</v>
      </c>
      <c r="N702">
        <f t="shared" si="54"/>
        <v>-1415.1100000000001</v>
      </c>
      <c r="O702" s="6">
        <v>0.1</v>
      </c>
      <c r="P702">
        <f t="shared" si="53"/>
        <v>927.17100000000005</v>
      </c>
    </row>
    <row r="703" spans="1:16" x14ac:dyDescent="0.25">
      <c r="A703" t="s">
        <v>739</v>
      </c>
      <c r="B703" s="1">
        <v>45785</v>
      </c>
      <c r="C703" t="s">
        <v>17</v>
      </c>
      <c r="D703" t="s">
        <v>35</v>
      </c>
      <c r="E703" t="s">
        <v>13</v>
      </c>
      <c r="F703" t="s">
        <v>14</v>
      </c>
      <c r="G703" t="s">
        <v>15</v>
      </c>
      <c r="H703">
        <v>41.4</v>
      </c>
      <c r="I703">
        <v>8</v>
      </c>
      <c r="J703">
        <v>331.2</v>
      </c>
      <c r="K703" t="str">
        <f t="shared" si="50"/>
        <v>May</v>
      </c>
      <c r="L703" t="str">
        <f t="shared" si="51"/>
        <v>Low</v>
      </c>
      <c r="M703" t="str">
        <f t="shared" si="52"/>
        <v>Low</v>
      </c>
      <c r="N703">
        <f t="shared" si="54"/>
        <v>-698.99</v>
      </c>
      <c r="O703" s="6">
        <v>0.1</v>
      </c>
      <c r="P703">
        <f t="shared" si="53"/>
        <v>298.08</v>
      </c>
    </row>
    <row r="704" spans="1:16" x14ac:dyDescent="0.25">
      <c r="A704" t="s">
        <v>740</v>
      </c>
      <c r="B704" s="1">
        <v>45854</v>
      </c>
      <c r="C704" t="s">
        <v>25</v>
      </c>
      <c r="D704" t="s">
        <v>35</v>
      </c>
      <c r="E704" t="s">
        <v>23</v>
      </c>
      <c r="F704" t="s">
        <v>19</v>
      </c>
      <c r="G704" t="s">
        <v>15</v>
      </c>
      <c r="H704">
        <v>104.05</v>
      </c>
      <c r="I704">
        <v>17</v>
      </c>
      <c r="J704">
        <v>1768.85</v>
      </c>
      <c r="K704" t="str">
        <f t="shared" si="50"/>
        <v>Jul</v>
      </c>
      <c r="L704" t="str">
        <f t="shared" si="51"/>
        <v>Low</v>
      </c>
      <c r="M704" t="str">
        <f t="shared" si="52"/>
        <v>Good</v>
      </c>
      <c r="N704">
        <f t="shared" si="54"/>
        <v>1437.6499999999999</v>
      </c>
      <c r="O704" s="6">
        <v>0.1</v>
      </c>
      <c r="P704">
        <f t="shared" si="53"/>
        <v>1591.9649999999999</v>
      </c>
    </row>
    <row r="705" spans="1:16" x14ac:dyDescent="0.25">
      <c r="A705" t="s">
        <v>741</v>
      </c>
      <c r="B705" s="1">
        <v>45810</v>
      </c>
      <c r="C705" t="s">
        <v>38</v>
      </c>
      <c r="D705" t="s">
        <v>12</v>
      </c>
      <c r="E705" t="s">
        <v>18</v>
      </c>
      <c r="F705" t="s">
        <v>42</v>
      </c>
      <c r="G705" t="s">
        <v>20</v>
      </c>
      <c r="H705">
        <v>59.57</v>
      </c>
      <c r="I705">
        <v>10</v>
      </c>
      <c r="J705">
        <v>595.70000000000005</v>
      </c>
      <c r="K705" t="str">
        <f t="shared" si="50"/>
        <v>Jun</v>
      </c>
      <c r="L705" t="str">
        <f t="shared" si="51"/>
        <v>Low</v>
      </c>
      <c r="M705" t="str">
        <f t="shared" si="52"/>
        <v>Average</v>
      </c>
      <c r="N705">
        <f t="shared" si="54"/>
        <v>-1173.1499999999999</v>
      </c>
      <c r="O705" s="6">
        <v>0.1</v>
      </c>
      <c r="P705">
        <f t="shared" si="53"/>
        <v>536.13000000000011</v>
      </c>
    </row>
    <row r="706" spans="1:16" x14ac:dyDescent="0.25">
      <c r="A706" t="s">
        <v>742</v>
      </c>
      <c r="B706" s="1">
        <v>45830</v>
      </c>
      <c r="C706" t="s">
        <v>17</v>
      </c>
      <c r="D706" t="s">
        <v>26</v>
      </c>
      <c r="E706" t="s">
        <v>13</v>
      </c>
      <c r="F706" t="s">
        <v>61</v>
      </c>
      <c r="G706" t="s">
        <v>36</v>
      </c>
      <c r="H706">
        <v>43.94</v>
      </c>
      <c r="I706">
        <v>14</v>
      </c>
      <c r="J706">
        <v>615.16</v>
      </c>
      <c r="K706" t="str">
        <f t="shared" ref="K706:K769" si="55">TEXT(B706,"MMM")</f>
        <v>Jun</v>
      </c>
      <c r="L706" t="str">
        <f t="shared" ref="L706:L769" si="56">IF(J706&gt;2000,"High","Low")</f>
        <v>Low</v>
      </c>
      <c r="M706" t="str">
        <f t="shared" ref="M706:M769" si="57">IF(J706&gt;3000,"Excellent",
 IF(J706&gt;1500,"Good",
 IF(J706&gt;500,"Average","Low")))</f>
        <v>Average</v>
      </c>
      <c r="N706">
        <f t="shared" si="54"/>
        <v>19.459999999999923</v>
      </c>
      <c r="O706" s="6">
        <v>0.1</v>
      </c>
      <c r="P706">
        <f t="shared" ref="P706:P769" si="58">J706*(1-O706)</f>
        <v>553.64400000000001</v>
      </c>
    </row>
    <row r="707" spans="1:16" x14ac:dyDescent="0.25">
      <c r="A707" t="s">
        <v>743</v>
      </c>
      <c r="B707" s="1">
        <v>45754</v>
      </c>
      <c r="C707" t="s">
        <v>38</v>
      </c>
      <c r="D707" t="s">
        <v>22</v>
      </c>
      <c r="E707" t="s">
        <v>23</v>
      </c>
      <c r="F707" t="s">
        <v>14</v>
      </c>
      <c r="G707" t="s">
        <v>20</v>
      </c>
      <c r="H707">
        <v>247.79</v>
      </c>
      <c r="I707">
        <v>6</v>
      </c>
      <c r="J707">
        <v>1486.74</v>
      </c>
      <c r="K707" t="str">
        <f t="shared" si="55"/>
        <v>Apr</v>
      </c>
      <c r="L707" t="str">
        <f t="shared" si="56"/>
        <v>Low</v>
      </c>
      <c r="M707" t="str">
        <f t="shared" si="57"/>
        <v>Average</v>
      </c>
      <c r="N707">
        <f t="shared" ref="N707:N770" si="59">J707-J706</f>
        <v>871.58</v>
      </c>
      <c r="O707" s="6">
        <v>0.1</v>
      </c>
      <c r="P707">
        <f t="shared" si="58"/>
        <v>1338.066</v>
      </c>
    </row>
    <row r="708" spans="1:16" x14ac:dyDescent="0.25">
      <c r="A708" t="s">
        <v>744</v>
      </c>
      <c r="B708" s="1">
        <v>45725</v>
      </c>
      <c r="C708" t="s">
        <v>17</v>
      </c>
      <c r="D708" t="s">
        <v>22</v>
      </c>
      <c r="E708" t="s">
        <v>18</v>
      </c>
      <c r="F708" t="s">
        <v>42</v>
      </c>
      <c r="G708" t="s">
        <v>15</v>
      </c>
      <c r="H708">
        <v>100.92</v>
      </c>
      <c r="I708">
        <v>7</v>
      </c>
      <c r="J708">
        <v>706.44</v>
      </c>
      <c r="K708" t="str">
        <f t="shared" si="55"/>
        <v>Mar</v>
      </c>
      <c r="L708" t="str">
        <f t="shared" si="56"/>
        <v>Low</v>
      </c>
      <c r="M708" t="str">
        <f t="shared" si="57"/>
        <v>Average</v>
      </c>
      <c r="N708">
        <f t="shared" si="59"/>
        <v>-780.3</v>
      </c>
      <c r="O708" s="6">
        <v>0.1</v>
      </c>
      <c r="P708">
        <f t="shared" si="58"/>
        <v>635.79600000000005</v>
      </c>
    </row>
    <row r="709" spans="1:16" x14ac:dyDescent="0.25">
      <c r="A709" t="s">
        <v>745</v>
      </c>
      <c r="B709" s="1">
        <v>45721</v>
      </c>
      <c r="C709" t="s">
        <v>17</v>
      </c>
      <c r="D709" t="s">
        <v>12</v>
      </c>
      <c r="E709" t="s">
        <v>45</v>
      </c>
      <c r="F709" t="s">
        <v>61</v>
      </c>
      <c r="G709" t="s">
        <v>20</v>
      </c>
      <c r="H709">
        <v>208.17</v>
      </c>
      <c r="I709">
        <v>12</v>
      </c>
      <c r="J709">
        <v>2498.04</v>
      </c>
      <c r="K709" t="str">
        <f t="shared" si="55"/>
        <v>Mar</v>
      </c>
      <c r="L709" t="str">
        <f t="shared" si="56"/>
        <v>High</v>
      </c>
      <c r="M709" t="str">
        <f t="shared" si="57"/>
        <v>Good</v>
      </c>
      <c r="N709">
        <f t="shared" si="59"/>
        <v>1791.6</v>
      </c>
      <c r="O709" s="6">
        <v>0.1</v>
      </c>
      <c r="P709">
        <f t="shared" si="58"/>
        <v>2248.2359999999999</v>
      </c>
    </row>
    <row r="710" spans="1:16" x14ac:dyDescent="0.25">
      <c r="A710" t="s">
        <v>746</v>
      </c>
      <c r="B710" s="1">
        <v>45788</v>
      </c>
      <c r="C710" t="s">
        <v>25</v>
      </c>
      <c r="D710" t="s">
        <v>22</v>
      </c>
      <c r="E710" t="s">
        <v>18</v>
      </c>
      <c r="F710" t="s">
        <v>19</v>
      </c>
      <c r="G710" t="s">
        <v>20</v>
      </c>
      <c r="H710">
        <v>86.02</v>
      </c>
      <c r="I710">
        <v>18</v>
      </c>
      <c r="J710">
        <v>1548.36</v>
      </c>
      <c r="K710" t="str">
        <f t="shared" si="55"/>
        <v>May</v>
      </c>
      <c r="L710" t="str">
        <f t="shared" si="56"/>
        <v>Low</v>
      </c>
      <c r="M710" t="str">
        <f t="shared" si="57"/>
        <v>Good</v>
      </c>
      <c r="N710">
        <f t="shared" si="59"/>
        <v>-949.68000000000006</v>
      </c>
      <c r="O710" s="6">
        <v>0.1</v>
      </c>
      <c r="P710">
        <f t="shared" si="58"/>
        <v>1393.5239999999999</v>
      </c>
    </row>
    <row r="711" spans="1:16" x14ac:dyDescent="0.25">
      <c r="A711" t="s">
        <v>747</v>
      </c>
      <c r="B711" s="1">
        <v>45713</v>
      </c>
      <c r="C711" t="s">
        <v>11</v>
      </c>
      <c r="D711" t="s">
        <v>12</v>
      </c>
      <c r="E711" t="s">
        <v>45</v>
      </c>
      <c r="F711" t="s">
        <v>61</v>
      </c>
      <c r="G711" t="s">
        <v>36</v>
      </c>
      <c r="H711">
        <v>179.93</v>
      </c>
      <c r="I711">
        <v>1</v>
      </c>
      <c r="J711">
        <v>179.93</v>
      </c>
      <c r="K711" t="str">
        <f t="shared" si="55"/>
        <v>Feb</v>
      </c>
      <c r="L711" t="str">
        <f t="shared" si="56"/>
        <v>Low</v>
      </c>
      <c r="M711" t="str">
        <f t="shared" si="57"/>
        <v>Low</v>
      </c>
      <c r="N711">
        <f t="shared" si="59"/>
        <v>-1368.4299999999998</v>
      </c>
      <c r="O711" s="6">
        <v>0.1</v>
      </c>
      <c r="P711">
        <f t="shared" si="58"/>
        <v>161.93700000000001</v>
      </c>
    </row>
    <row r="712" spans="1:16" x14ac:dyDescent="0.25">
      <c r="A712" t="s">
        <v>748</v>
      </c>
      <c r="B712" s="1">
        <v>45852</v>
      </c>
      <c r="C712" t="s">
        <v>25</v>
      </c>
      <c r="D712" t="s">
        <v>35</v>
      </c>
      <c r="E712" t="s">
        <v>41</v>
      </c>
      <c r="F712" t="s">
        <v>28</v>
      </c>
      <c r="G712" t="s">
        <v>15</v>
      </c>
      <c r="H712">
        <v>197.25</v>
      </c>
      <c r="I712">
        <v>4</v>
      </c>
      <c r="J712">
        <v>789</v>
      </c>
      <c r="K712" t="str">
        <f t="shared" si="55"/>
        <v>Jul</v>
      </c>
      <c r="L712" t="str">
        <f t="shared" si="56"/>
        <v>Low</v>
      </c>
      <c r="M712" t="str">
        <f t="shared" si="57"/>
        <v>Average</v>
      </c>
      <c r="N712">
        <f t="shared" si="59"/>
        <v>609.06999999999994</v>
      </c>
      <c r="O712" s="6">
        <v>0.1</v>
      </c>
      <c r="P712">
        <f t="shared" si="58"/>
        <v>710.1</v>
      </c>
    </row>
    <row r="713" spans="1:16" x14ac:dyDescent="0.25">
      <c r="A713" t="s">
        <v>749</v>
      </c>
      <c r="B713" s="1">
        <v>45763</v>
      </c>
      <c r="C713" t="s">
        <v>34</v>
      </c>
      <c r="D713" t="s">
        <v>31</v>
      </c>
      <c r="E713" t="s">
        <v>27</v>
      </c>
      <c r="F713" t="s">
        <v>19</v>
      </c>
      <c r="G713" t="s">
        <v>20</v>
      </c>
      <c r="H713">
        <v>161.04</v>
      </c>
      <c r="I713">
        <v>1</v>
      </c>
      <c r="J713">
        <v>161.04</v>
      </c>
      <c r="K713" t="str">
        <f t="shared" si="55"/>
        <v>Apr</v>
      </c>
      <c r="L713" t="str">
        <f t="shared" si="56"/>
        <v>Low</v>
      </c>
      <c r="M713" t="str">
        <f t="shared" si="57"/>
        <v>Low</v>
      </c>
      <c r="N713">
        <f t="shared" si="59"/>
        <v>-627.96</v>
      </c>
      <c r="O713" s="6">
        <v>0.1</v>
      </c>
      <c r="P713">
        <f t="shared" si="58"/>
        <v>144.93600000000001</v>
      </c>
    </row>
    <row r="714" spans="1:16" x14ac:dyDescent="0.25">
      <c r="A714" t="s">
        <v>750</v>
      </c>
      <c r="B714" s="1">
        <v>45924</v>
      </c>
      <c r="C714" t="s">
        <v>25</v>
      </c>
      <c r="D714" t="s">
        <v>55</v>
      </c>
      <c r="E714" t="s">
        <v>27</v>
      </c>
      <c r="F714" t="s">
        <v>14</v>
      </c>
      <c r="G714" t="s">
        <v>36</v>
      </c>
      <c r="H714">
        <v>133.75</v>
      </c>
      <c r="I714">
        <v>9</v>
      </c>
      <c r="J714">
        <v>1203.75</v>
      </c>
      <c r="K714" t="str">
        <f t="shared" si="55"/>
        <v>Sep</v>
      </c>
      <c r="L714" t="str">
        <f t="shared" si="56"/>
        <v>Low</v>
      </c>
      <c r="M714" t="str">
        <f t="shared" si="57"/>
        <v>Average</v>
      </c>
      <c r="N714">
        <f t="shared" si="59"/>
        <v>1042.71</v>
      </c>
      <c r="O714" s="6">
        <v>0.1</v>
      </c>
      <c r="P714">
        <f t="shared" si="58"/>
        <v>1083.375</v>
      </c>
    </row>
    <row r="715" spans="1:16" x14ac:dyDescent="0.25">
      <c r="A715" t="s">
        <v>751</v>
      </c>
      <c r="B715" s="1">
        <v>45711</v>
      </c>
      <c r="C715" t="s">
        <v>17</v>
      </c>
      <c r="D715" t="s">
        <v>55</v>
      </c>
      <c r="E715" t="s">
        <v>45</v>
      </c>
      <c r="F715" t="s">
        <v>32</v>
      </c>
      <c r="G715" t="s">
        <v>15</v>
      </c>
      <c r="H715">
        <v>120.61</v>
      </c>
      <c r="I715">
        <v>17</v>
      </c>
      <c r="J715">
        <v>2050.37</v>
      </c>
      <c r="K715" t="str">
        <f t="shared" si="55"/>
        <v>Feb</v>
      </c>
      <c r="L715" t="str">
        <f t="shared" si="56"/>
        <v>High</v>
      </c>
      <c r="M715" t="str">
        <f t="shared" si="57"/>
        <v>Good</v>
      </c>
      <c r="N715">
        <f t="shared" si="59"/>
        <v>846.61999999999989</v>
      </c>
      <c r="O715" s="6">
        <v>0.1</v>
      </c>
      <c r="P715">
        <f t="shared" si="58"/>
        <v>1845.3329999999999</v>
      </c>
    </row>
    <row r="716" spans="1:16" x14ac:dyDescent="0.25">
      <c r="A716" t="s">
        <v>752</v>
      </c>
      <c r="B716" s="1">
        <v>45712</v>
      </c>
      <c r="C716" t="s">
        <v>30</v>
      </c>
      <c r="D716" t="s">
        <v>55</v>
      </c>
      <c r="E716" t="s">
        <v>23</v>
      </c>
      <c r="F716" t="s">
        <v>39</v>
      </c>
      <c r="G716" t="s">
        <v>36</v>
      </c>
      <c r="H716">
        <v>106.75</v>
      </c>
      <c r="I716">
        <v>16</v>
      </c>
      <c r="J716">
        <v>1708</v>
      </c>
      <c r="K716" t="str">
        <f t="shared" si="55"/>
        <v>Feb</v>
      </c>
      <c r="L716" t="str">
        <f t="shared" si="56"/>
        <v>Low</v>
      </c>
      <c r="M716" t="str">
        <f t="shared" si="57"/>
        <v>Good</v>
      </c>
      <c r="N716">
        <f t="shared" si="59"/>
        <v>-342.36999999999989</v>
      </c>
      <c r="O716" s="6">
        <v>0.1</v>
      </c>
      <c r="P716">
        <f t="shared" si="58"/>
        <v>1537.2</v>
      </c>
    </row>
    <row r="717" spans="1:16" x14ac:dyDescent="0.25">
      <c r="A717" t="s">
        <v>753</v>
      </c>
      <c r="B717" s="1">
        <v>45925</v>
      </c>
      <c r="C717" t="s">
        <v>34</v>
      </c>
      <c r="D717" t="s">
        <v>12</v>
      </c>
      <c r="E717" t="s">
        <v>41</v>
      </c>
      <c r="F717" t="s">
        <v>32</v>
      </c>
      <c r="G717" t="s">
        <v>15</v>
      </c>
      <c r="H717">
        <v>234.5</v>
      </c>
      <c r="I717">
        <v>7</v>
      </c>
      <c r="J717">
        <v>1641.5</v>
      </c>
      <c r="K717" t="str">
        <f t="shared" si="55"/>
        <v>Sep</v>
      </c>
      <c r="L717" t="str">
        <f t="shared" si="56"/>
        <v>Low</v>
      </c>
      <c r="M717" t="str">
        <f t="shared" si="57"/>
        <v>Good</v>
      </c>
      <c r="N717">
        <f t="shared" si="59"/>
        <v>-66.5</v>
      </c>
      <c r="O717" s="6">
        <v>0.1</v>
      </c>
      <c r="P717">
        <f t="shared" si="58"/>
        <v>1477.3500000000001</v>
      </c>
    </row>
    <row r="718" spans="1:16" x14ac:dyDescent="0.25">
      <c r="A718" t="s">
        <v>754</v>
      </c>
      <c r="B718" s="1">
        <v>45678</v>
      </c>
      <c r="C718" t="s">
        <v>38</v>
      </c>
      <c r="D718" t="s">
        <v>26</v>
      </c>
      <c r="E718" t="s">
        <v>27</v>
      </c>
      <c r="F718" t="s">
        <v>61</v>
      </c>
      <c r="G718" t="s">
        <v>36</v>
      </c>
      <c r="H718">
        <v>212.74</v>
      </c>
      <c r="I718">
        <v>18</v>
      </c>
      <c r="J718">
        <v>3829.32</v>
      </c>
      <c r="K718" t="str">
        <f t="shared" si="55"/>
        <v>Jan</v>
      </c>
      <c r="L718" t="str">
        <f t="shared" si="56"/>
        <v>High</v>
      </c>
      <c r="M718" t="str">
        <f t="shared" si="57"/>
        <v>Excellent</v>
      </c>
      <c r="N718">
        <f t="shared" si="59"/>
        <v>2187.8200000000002</v>
      </c>
      <c r="O718" s="6">
        <v>0.1</v>
      </c>
      <c r="P718">
        <f t="shared" si="58"/>
        <v>3446.3880000000004</v>
      </c>
    </row>
    <row r="719" spans="1:16" x14ac:dyDescent="0.25">
      <c r="A719" t="s">
        <v>755</v>
      </c>
      <c r="B719" s="1">
        <v>45778</v>
      </c>
      <c r="C719" t="s">
        <v>11</v>
      </c>
      <c r="D719" t="s">
        <v>12</v>
      </c>
      <c r="E719" t="s">
        <v>45</v>
      </c>
      <c r="F719" t="s">
        <v>19</v>
      </c>
      <c r="G719" t="s">
        <v>20</v>
      </c>
      <c r="H719">
        <v>242.31</v>
      </c>
      <c r="I719">
        <v>1</v>
      </c>
      <c r="J719">
        <v>242.31</v>
      </c>
      <c r="K719" t="str">
        <f t="shared" si="55"/>
        <v>May</v>
      </c>
      <c r="L719" t="str">
        <f t="shared" si="56"/>
        <v>Low</v>
      </c>
      <c r="M719" t="str">
        <f t="shared" si="57"/>
        <v>Low</v>
      </c>
      <c r="N719">
        <f t="shared" si="59"/>
        <v>-3587.01</v>
      </c>
      <c r="O719" s="6">
        <v>0.1</v>
      </c>
      <c r="P719">
        <f t="shared" si="58"/>
        <v>218.07900000000001</v>
      </c>
    </row>
    <row r="720" spans="1:16" x14ac:dyDescent="0.25">
      <c r="A720" t="s">
        <v>756</v>
      </c>
      <c r="B720" s="1">
        <v>46000</v>
      </c>
      <c r="C720" t="s">
        <v>30</v>
      </c>
      <c r="D720" t="s">
        <v>22</v>
      </c>
      <c r="E720" t="s">
        <v>18</v>
      </c>
      <c r="F720" t="s">
        <v>19</v>
      </c>
      <c r="G720" t="s">
        <v>20</v>
      </c>
      <c r="H720">
        <v>57.35</v>
      </c>
      <c r="I720">
        <v>16</v>
      </c>
      <c r="J720">
        <v>917.6</v>
      </c>
      <c r="K720" t="str">
        <f t="shared" si="55"/>
        <v>Dec</v>
      </c>
      <c r="L720" t="str">
        <f t="shared" si="56"/>
        <v>Low</v>
      </c>
      <c r="M720" t="str">
        <f t="shared" si="57"/>
        <v>Average</v>
      </c>
      <c r="N720">
        <f t="shared" si="59"/>
        <v>675.29</v>
      </c>
      <c r="O720" s="6">
        <v>0.1</v>
      </c>
      <c r="P720">
        <f t="shared" si="58"/>
        <v>825.84</v>
      </c>
    </row>
    <row r="721" spans="1:16" x14ac:dyDescent="0.25">
      <c r="A721" t="s">
        <v>757</v>
      </c>
      <c r="B721" s="1">
        <v>45709</v>
      </c>
      <c r="C721" t="s">
        <v>17</v>
      </c>
      <c r="D721" t="s">
        <v>26</v>
      </c>
      <c r="E721" t="s">
        <v>41</v>
      </c>
      <c r="F721" t="s">
        <v>32</v>
      </c>
      <c r="G721" t="s">
        <v>36</v>
      </c>
      <c r="H721">
        <v>190.79</v>
      </c>
      <c r="I721">
        <v>9</v>
      </c>
      <c r="J721">
        <v>1717.11</v>
      </c>
      <c r="K721" t="str">
        <f t="shared" si="55"/>
        <v>Feb</v>
      </c>
      <c r="L721" t="str">
        <f t="shared" si="56"/>
        <v>Low</v>
      </c>
      <c r="M721" t="str">
        <f t="shared" si="57"/>
        <v>Good</v>
      </c>
      <c r="N721">
        <f t="shared" si="59"/>
        <v>799.50999999999988</v>
      </c>
      <c r="O721" s="6">
        <v>0.1</v>
      </c>
      <c r="P721">
        <f t="shared" si="58"/>
        <v>1545.3989999999999</v>
      </c>
    </row>
    <row r="722" spans="1:16" x14ac:dyDescent="0.25">
      <c r="A722" t="s">
        <v>758</v>
      </c>
      <c r="B722" s="1">
        <v>45895</v>
      </c>
      <c r="C722" t="s">
        <v>11</v>
      </c>
      <c r="D722" t="s">
        <v>26</v>
      </c>
      <c r="E722" t="s">
        <v>45</v>
      </c>
      <c r="F722" t="s">
        <v>39</v>
      </c>
      <c r="G722" t="s">
        <v>36</v>
      </c>
      <c r="H722">
        <v>236.43</v>
      </c>
      <c r="I722">
        <v>2</v>
      </c>
      <c r="J722">
        <v>472.86</v>
      </c>
      <c r="K722" t="str">
        <f t="shared" si="55"/>
        <v>Aug</v>
      </c>
      <c r="L722" t="str">
        <f t="shared" si="56"/>
        <v>Low</v>
      </c>
      <c r="M722" t="str">
        <f t="shared" si="57"/>
        <v>Low</v>
      </c>
      <c r="N722">
        <f t="shared" si="59"/>
        <v>-1244.25</v>
      </c>
      <c r="O722" s="6">
        <v>0.1</v>
      </c>
      <c r="P722">
        <f t="shared" si="58"/>
        <v>425.57400000000001</v>
      </c>
    </row>
    <row r="723" spans="1:16" x14ac:dyDescent="0.25">
      <c r="A723" t="s">
        <v>759</v>
      </c>
      <c r="B723" s="1">
        <v>45842</v>
      </c>
      <c r="C723" t="s">
        <v>38</v>
      </c>
      <c r="D723" t="s">
        <v>12</v>
      </c>
      <c r="E723" t="s">
        <v>45</v>
      </c>
      <c r="F723" t="s">
        <v>19</v>
      </c>
      <c r="G723" t="s">
        <v>15</v>
      </c>
      <c r="H723">
        <v>69.87</v>
      </c>
      <c r="I723">
        <v>11</v>
      </c>
      <c r="J723">
        <v>768.57</v>
      </c>
      <c r="K723" t="str">
        <f t="shared" si="55"/>
        <v>Jul</v>
      </c>
      <c r="L723" t="str">
        <f t="shared" si="56"/>
        <v>Low</v>
      </c>
      <c r="M723" t="str">
        <f t="shared" si="57"/>
        <v>Average</v>
      </c>
      <c r="N723">
        <f t="shared" si="59"/>
        <v>295.71000000000004</v>
      </c>
      <c r="O723" s="6">
        <v>0.1</v>
      </c>
      <c r="P723">
        <f t="shared" si="58"/>
        <v>691.71300000000008</v>
      </c>
    </row>
    <row r="724" spans="1:16" x14ac:dyDescent="0.25">
      <c r="A724" t="s">
        <v>760</v>
      </c>
      <c r="B724" s="1">
        <v>45662</v>
      </c>
      <c r="C724" t="s">
        <v>17</v>
      </c>
      <c r="D724" t="s">
        <v>12</v>
      </c>
      <c r="E724" t="s">
        <v>23</v>
      </c>
      <c r="F724" t="s">
        <v>32</v>
      </c>
      <c r="G724" t="s">
        <v>36</v>
      </c>
      <c r="H724">
        <v>44.63</v>
      </c>
      <c r="I724">
        <v>5</v>
      </c>
      <c r="J724">
        <v>223.15</v>
      </c>
      <c r="K724" t="str">
        <f t="shared" si="55"/>
        <v>Jan</v>
      </c>
      <c r="L724" t="str">
        <f t="shared" si="56"/>
        <v>Low</v>
      </c>
      <c r="M724" t="str">
        <f t="shared" si="57"/>
        <v>Low</v>
      </c>
      <c r="N724">
        <f t="shared" si="59"/>
        <v>-545.42000000000007</v>
      </c>
      <c r="O724" s="6">
        <v>0.1</v>
      </c>
      <c r="P724">
        <f t="shared" si="58"/>
        <v>200.83500000000001</v>
      </c>
    </row>
    <row r="725" spans="1:16" x14ac:dyDescent="0.25">
      <c r="A725" t="s">
        <v>761</v>
      </c>
      <c r="B725" s="1">
        <v>45882</v>
      </c>
      <c r="C725" t="s">
        <v>34</v>
      </c>
      <c r="D725" t="s">
        <v>12</v>
      </c>
      <c r="E725" t="s">
        <v>45</v>
      </c>
      <c r="F725" t="s">
        <v>32</v>
      </c>
      <c r="G725" t="s">
        <v>36</v>
      </c>
      <c r="H725">
        <v>193.05</v>
      </c>
      <c r="I725">
        <v>20</v>
      </c>
      <c r="J725">
        <v>3861</v>
      </c>
      <c r="K725" t="str">
        <f t="shared" si="55"/>
        <v>Aug</v>
      </c>
      <c r="L725" t="str">
        <f t="shared" si="56"/>
        <v>High</v>
      </c>
      <c r="M725" t="str">
        <f t="shared" si="57"/>
        <v>Excellent</v>
      </c>
      <c r="N725">
        <f t="shared" si="59"/>
        <v>3637.85</v>
      </c>
      <c r="O725" s="6">
        <v>0.1</v>
      </c>
      <c r="P725">
        <f t="shared" si="58"/>
        <v>3474.9</v>
      </c>
    </row>
    <row r="726" spans="1:16" x14ac:dyDescent="0.25">
      <c r="A726" t="s">
        <v>762</v>
      </c>
      <c r="B726" s="1">
        <v>45751</v>
      </c>
      <c r="C726" t="s">
        <v>38</v>
      </c>
      <c r="D726" t="s">
        <v>31</v>
      </c>
      <c r="E726" t="s">
        <v>41</v>
      </c>
      <c r="F726" t="s">
        <v>32</v>
      </c>
      <c r="G726" t="s">
        <v>36</v>
      </c>
      <c r="H726">
        <v>156.38</v>
      </c>
      <c r="I726">
        <v>4</v>
      </c>
      <c r="J726">
        <v>625.52</v>
      </c>
      <c r="K726" t="str">
        <f t="shared" si="55"/>
        <v>Apr</v>
      </c>
      <c r="L726" t="str">
        <f t="shared" si="56"/>
        <v>Low</v>
      </c>
      <c r="M726" t="str">
        <f t="shared" si="57"/>
        <v>Average</v>
      </c>
      <c r="N726">
        <f t="shared" si="59"/>
        <v>-3235.48</v>
      </c>
      <c r="O726" s="6">
        <v>0.1</v>
      </c>
      <c r="P726">
        <f t="shared" si="58"/>
        <v>562.96799999999996</v>
      </c>
    </row>
    <row r="727" spans="1:16" x14ac:dyDescent="0.25">
      <c r="A727" t="s">
        <v>763</v>
      </c>
      <c r="B727" s="1">
        <v>46011</v>
      </c>
      <c r="C727" t="s">
        <v>38</v>
      </c>
      <c r="D727" t="s">
        <v>12</v>
      </c>
      <c r="E727" t="s">
        <v>23</v>
      </c>
      <c r="F727" t="s">
        <v>19</v>
      </c>
      <c r="G727" t="s">
        <v>15</v>
      </c>
      <c r="H727">
        <v>215.2</v>
      </c>
      <c r="I727">
        <v>16</v>
      </c>
      <c r="J727">
        <v>3443.2</v>
      </c>
      <c r="K727" t="str">
        <f t="shared" si="55"/>
        <v>Dec</v>
      </c>
      <c r="L727" t="str">
        <f t="shared" si="56"/>
        <v>High</v>
      </c>
      <c r="M727" t="str">
        <f t="shared" si="57"/>
        <v>Excellent</v>
      </c>
      <c r="N727">
        <f t="shared" si="59"/>
        <v>2817.68</v>
      </c>
      <c r="O727" s="6">
        <v>0.1</v>
      </c>
      <c r="P727">
        <f t="shared" si="58"/>
        <v>3098.88</v>
      </c>
    </row>
    <row r="728" spans="1:16" x14ac:dyDescent="0.25">
      <c r="A728" t="s">
        <v>764</v>
      </c>
      <c r="B728" s="1">
        <v>46014</v>
      </c>
      <c r="C728" t="s">
        <v>30</v>
      </c>
      <c r="D728" t="s">
        <v>22</v>
      </c>
      <c r="E728" t="s">
        <v>41</v>
      </c>
      <c r="F728" t="s">
        <v>42</v>
      </c>
      <c r="G728" t="s">
        <v>36</v>
      </c>
      <c r="H728">
        <v>60.75</v>
      </c>
      <c r="I728">
        <v>2</v>
      </c>
      <c r="J728">
        <v>121.5</v>
      </c>
      <c r="K728" t="str">
        <f t="shared" si="55"/>
        <v>Dec</v>
      </c>
      <c r="L728" t="str">
        <f t="shared" si="56"/>
        <v>Low</v>
      </c>
      <c r="M728" t="str">
        <f t="shared" si="57"/>
        <v>Low</v>
      </c>
      <c r="N728">
        <f t="shared" si="59"/>
        <v>-3321.7</v>
      </c>
      <c r="O728" s="6">
        <v>0.1</v>
      </c>
      <c r="P728">
        <f t="shared" si="58"/>
        <v>109.35000000000001</v>
      </c>
    </row>
    <row r="729" spans="1:16" x14ac:dyDescent="0.25">
      <c r="A729" t="s">
        <v>765</v>
      </c>
      <c r="B729" s="1">
        <v>45949</v>
      </c>
      <c r="C729" t="s">
        <v>30</v>
      </c>
      <c r="D729" t="s">
        <v>55</v>
      </c>
      <c r="E729" t="s">
        <v>41</v>
      </c>
      <c r="F729" t="s">
        <v>39</v>
      </c>
      <c r="G729" t="s">
        <v>36</v>
      </c>
      <c r="H729">
        <v>204.96</v>
      </c>
      <c r="I729">
        <v>15</v>
      </c>
      <c r="J729">
        <v>3074.4</v>
      </c>
      <c r="K729" t="str">
        <f t="shared" si="55"/>
        <v>Oct</v>
      </c>
      <c r="L729" t="str">
        <f t="shared" si="56"/>
        <v>High</v>
      </c>
      <c r="M729" t="str">
        <f t="shared" si="57"/>
        <v>Excellent</v>
      </c>
      <c r="N729">
        <f t="shared" si="59"/>
        <v>2952.9</v>
      </c>
      <c r="O729" s="6">
        <v>0.1</v>
      </c>
      <c r="P729">
        <f t="shared" si="58"/>
        <v>2766.96</v>
      </c>
    </row>
    <row r="730" spans="1:16" x14ac:dyDescent="0.25">
      <c r="A730" t="s">
        <v>766</v>
      </c>
      <c r="B730" s="1">
        <v>45971</v>
      </c>
      <c r="C730" t="s">
        <v>17</v>
      </c>
      <c r="D730" t="s">
        <v>12</v>
      </c>
      <c r="E730" t="s">
        <v>23</v>
      </c>
      <c r="F730" t="s">
        <v>61</v>
      </c>
      <c r="G730" t="s">
        <v>36</v>
      </c>
      <c r="H730">
        <v>74.36</v>
      </c>
      <c r="I730">
        <v>1</v>
      </c>
      <c r="J730">
        <v>74.36</v>
      </c>
      <c r="K730" t="str">
        <f t="shared" si="55"/>
        <v>Nov</v>
      </c>
      <c r="L730" t="str">
        <f t="shared" si="56"/>
        <v>Low</v>
      </c>
      <c r="M730" t="str">
        <f t="shared" si="57"/>
        <v>Low</v>
      </c>
      <c r="N730">
        <f t="shared" si="59"/>
        <v>-3000.04</v>
      </c>
      <c r="O730" s="6">
        <v>0.1</v>
      </c>
      <c r="P730">
        <f t="shared" si="58"/>
        <v>66.924000000000007</v>
      </c>
    </row>
    <row r="731" spans="1:16" x14ac:dyDescent="0.25">
      <c r="A731" t="s">
        <v>767</v>
      </c>
      <c r="B731" s="1">
        <v>45715</v>
      </c>
      <c r="C731" t="s">
        <v>38</v>
      </c>
      <c r="D731" t="s">
        <v>22</v>
      </c>
      <c r="E731" t="s">
        <v>45</v>
      </c>
      <c r="F731" t="s">
        <v>32</v>
      </c>
      <c r="G731" t="s">
        <v>20</v>
      </c>
      <c r="H731">
        <v>66</v>
      </c>
      <c r="I731">
        <v>14</v>
      </c>
      <c r="J731">
        <v>924</v>
      </c>
      <c r="K731" t="str">
        <f t="shared" si="55"/>
        <v>Feb</v>
      </c>
      <c r="L731" t="str">
        <f t="shared" si="56"/>
        <v>Low</v>
      </c>
      <c r="M731" t="str">
        <f t="shared" si="57"/>
        <v>Average</v>
      </c>
      <c r="N731">
        <f t="shared" si="59"/>
        <v>849.64</v>
      </c>
      <c r="O731" s="6">
        <v>0.1</v>
      </c>
      <c r="P731">
        <f t="shared" si="58"/>
        <v>831.6</v>
      </c>
    </row>
    <row r="732" spans="1:16" x14ac:dyDescent="0.25">
      <c r="A732" t="s">
        <v>768</v>
      </c>
      <c r="B732" s="1">
        <v>45818</v>
      </c>
      <c r="C732" t="s">
        <v>17</v>
      </c>
      <c r="D732" t="s">
        <v>12</v>
      </c>
      <c r="E732" t="s">
        <v>18</v>
      </c>
      <c r="F732" t="s">
        <v>39</v>
      </c>
      <c r="G732" t="s">
        <v>20</v>
      </c>
      <c r="H732">
        <v>66.14</v>
      </c>
      <c r="I732">
        <v>1</v>
      </c>
      <c r="J732">
        <v>66.14</v>
      </c>
      <c r="K732" t="str">
        <f t="shared" si="55"/>
        <v>Jun</v>
      </c>
      <c r="L732" t="str">
        <f t="shared" si="56"/>
        <v>Low</v>
      </c>
      <c r="M732" t="str">
        <f t="shared" si="57"/>
        <v>Low</v>
      </c>
      <c r="N732">
        <f t="shared" si="59"/>
        <v>-857.86</v>
      </c>
      <c r="O732" s="6">
        <v>0.1</v>
      </c>
      <c r="P732">
        <f t="shared" si="58"/>
        <v>59.526000000000003</v>
      </c>
    </row>
    <row r="733" spans="1:16" x14ac:dyDescent="0.25">
      <c r="A733" t="s">
        <v>769</v>
      </c>
      <c r="B733" s="1">
        <v>45953</v>
      </c>
      <c r="C733" t="s">
        <v>30</v>
      </c>
      <c r="D733" t="s">
        <v>12</v>
      </c>
      <c r="E733" t="s">
        <v>13</v>
      </c>
      <c r="F733" t="s">
        <v>42</v>
      </c>
      <c r="G733" t="s">
        <v>20</v>
      </c>
      <c r="H733">
        <v>209.21</v>
      </c>
      <c r="I733">
        <v>19</v>
      </c>
      <c r="J733">
        <v>3974.99</v>
      </c>
      <c r="K733" t="str">
        <f t="shared" si="55"/>
        <v>Oct</v>
      </c>
      <c r="L733" t="str">
        <f t="shared" si="56"/>
        <v>High</v>
      </c>
      <c r="M733" t="str">
        <f t="shared" si="57"/>
        <v>Excellent</v>
      </c>
      <c r="N733">
        <f t="shared" si="59"/>
        <v>3908.85</v>
      </c>
      <c r="O733" s="6">
        <v>0.1</v>
      </c>
      <c r="P733">
        <f t="shared" si="58"/>
        <v>3577.491</v>
      </c>
    </row>
    <row r="734" spans="1:16" x14ac:dyDescent="0.25">
      <c r="A734" t="s">
        <v>770</v>
      </c>
      <c r="B734" s="1">
        <v>46010</v>
      </c>
      <c r="C734" t="s">
        <v>11</v>
      </c>
      <c r="D734" t="s">
        <v>31</v>
      </c>
      <c r="E734" t="s">
        <v>27</v>
      </c>
      <c r="F734" t="s">
        <v>28</v>
      </c>
      <c r="G734" t="s">
        <v>15</v>
      </c>
      <c r="H734">
        <v>176.34</v>
      </c>
      <c r="I734">
        <v>20</v>
      </c>
      <c r="J734">
        <v>3526.8</v>
      </c>
      <c r="K734" t="str">
        <f t="shared" si="55"/>
        <v>Dec</v>
      </c>
      <c r="L734" t="str">
        <f t="shared" si="56"/>
        <v>High</v>
      </c>
      <c r="M734" t="str">
        <f t="shared" si="57"/>
        <v>Excellent</v>
      </c>
      <c r="N734">
        <f t="shared" si="59"/>
        <v>-448.1899999999996</v>
      </c>
      <c r="O734" s="6">
        <v>0.1</v>
      </c>
      <c r="P734">
        <f t="shared" si="58"/>
        <v>3174.1200000000003</v>
      </c>
    </row>
    <row r="735" spans="1:16" x14ac:dyDescent="0.25">
      <c r="A735" t="s">
        <v>771</v>
      </c>
      <c r="B735" s="1">
        <v>45904</v>
      </c>
      <c r="C735" t="s">
        <v>17</v>
      </c>
      <c r="D735" t="s">
        <v>12</v>
      </c>
      <c r="E735" t="s">
        <v>27</v>
      </c>
      <c r="F735" t="s">
        <v>61</v>
      </c>
      <c r="G735" t="s">
        <v>15</v>
      </c>
      <c r="H735">
        <v>145.07</v>
      </c>
      <c r="I735">
        <v>12</v>
      </c>
      <c r="J735">
        <v>1740.84</v>
      </c>
      <c r="K735" t="str">
        <f t="shared" si="55"/>
        <v>Sep</v>
      </c>
      <c r="L735" t="str">
        <f t="shared" si="56"/>
        <v>Low</v>
      </c>
      <c r="M735" t="str">
        <f t="shared" si="57"/>
        <v>Good</v>
      </c>
      <c r="N735">
        <f t="shared" si="59"/>
        <v>-1785.9600000000003</v>
      </c>
      <c r="O735" s="6">
        <v>0.1</v>
      </c>
      <c r="P735">
        <f t="shared" si="58"/>
        <v>1566.7559999999999</v>
      </c>
    </row>
    <row r="736" spans="1:16" x14ac:dyDescent="0.25">
      <c r="A736" t="s">
        <v>772</v>
      </c>
      <c r="B736" s="1">
        <v>45943</v>
      </c>
      <c r="C736" t="s">
        <v>11</v>
      </c>
      <c r="D736" t="s">
        <v>22</v>
      </c>
      <c r="E736" t="s">
        <v>27</v>
      </c>
      <c r="F736" t="s">
        <v>14</v>
      </c>
      <c r="G736" t="s">
        <v>20</v>
      </c>
      <c r="H736">
        <v>108.94</v>
      </c>
      <c r="I736">
        <v>20</v>
      </c>
      <c r="J736">
        <v>2178.8000000000002</v>
      </c>
      <c r="K736" t="str">
        <f t="shared" si="55"/>
        <v>Oct</v>
      </c>
      <c r="L736" t="str">
        <f t="shared" si="56"/>
        <v>High</v>
      </c>
      <c r="M736" t="str">
        <f t="shared" si="57"/>
        <v>Good</v>
      </c>
      <c r="N736">
        <f t="shared" si="59"/>
        <v>437.96000000000026</v>
      </c>
      <c r="O736" s="6">
        <v>0.1</v>
      </c>
      <c r="P736">
        <f t="shared" si="58"/>
        <v>1960.9200000000003</v>
      </c>
    </row>
    <row r="737" spans="1:16" x14ac:dyDescent="0.25">
      <c r="A737" t="s">
        <v>773</v>
      </c>
      <c r="B737" s="1">
        <v>45898</v>
      </c>
      <c r="C737" t="s">
        <v>30</v>
      </c>
      <c r="D737" t="s">
        <v>22</v>
      </c>
      <c r="E737" t="s">
        <v>41</v>
      </c>
      <c r="F737" t="s">
        <v>32</v>
      </c>
      <c r="G737" t="s">
        <v>15</v>
      </c>
      <c r="H737">
        <v>222.98</v>
      </c>
      <c r="I737">
        <v>16</v>
      </c>
      <c r="J737">
        <v>3567.68</v>
      </c>
      <c r="K737" t="str">
        <f t="shared" si="55"/>
        <v>Aug</v>
      </c>
      <c r="L737" t="str">
        <f t="shared" si="56"/>
        <v>High</v>
      </c>
      <c r="M737" t="str">
        <f t="shared" si="57"/>
        <v>Excellent</v>
      </c>
      <c r="N737">
        <f t="shared" si="59"/>
        <v>1388.8799999999997</v>
      </c>
      <c r="O737" s="6">
        <v>0.1</v>
      </c>
      <c r="P737">
        <f t="shared" si="58"/>
        <v>3210.9119999999998</v>
      </c>
    </row>
    <row r="738" spans="1:16" x14ac:dyDescent="0.25">
      <c r="A738" t="s">
        <v>774</v>
      </c>
      <c r="B738" s="1">
        <v>45827</v>
      </c>
      <c r="C738" t="s">
        <v>11</v>
      </c>
      <c r="D738" t="s">
        <v>55</v>
      </c>
      <c r="E738" t="s">
        <v>23</v>
      </c>
      <c r="F738" t="s">
        <v>42</v>
      </c>
      <c r="G738" t="s">
        <v>20</v>
      </c>
      <c r="H738">
        <v>116.34</v>
      </c>
      <c r="I738">
        <v>9</v>
      </c>
      <c r="J738">
        <v>1047.06</v>
      </c>
      <c r="K738" t="str">
        <f t="shared" si="55"/>
        <v>Jun</v>
      </c>
      <c r="L738" t="str">
        <f t="shared" si="56"/>
        <v>Low</v>
      </c>
      <c r="M738" t="str">
        <f t="shared" si="57"/>
        <v>Average</v>
      </c>
      <c r="N738">
        <f t="shared" si="59"/>
        <v>-2520.62</v>
      </c>
      <c r="O738" s="6">
        <v>0.1</v>
      </c>
      <c r="P738">
        <f t="shared" si="58"/>
        <v>942.35399999999993</v>
      </c>
    </row>
    <row r="739" spans="1:16" x14ac:dyDescent="0.25">
      <c r="A739" t="s">
        <v>775</v>
      </c>
      <c r="B739" s="1">
        <v>45851</v>
      </c>
      <c r="C739" t="s">
        <v>30</v>
      </c>
      <c r="D739" t="s">
        <v>22</v>
      </c>
      <c r="E739" t="s">
        <v>41</v>
      </c>
      <c r="F739" t="s">
        <v>61</v>
      </c>
      <c r="G739" t="s">
        <v>20</v>
      </c>
      <c r="H739">
        <v>209.65</v>
      </c>
      <c r="I739">
        <v>13</v>
      </c>
      <c r="J739">
        <v>2725.45</v>
      </c>
      <c r="K739" t="str">
        <f t="shared" si="55"/>
        <v>Jul</v>
      </c>
      <c r="L739" t="str">
        <f t="shared" si="56"/>
        <v>High</v>
      </c>
      <c r="M739" t="str">
        <f t="shared" si="57"/>
        <v>Good</v>
      </c>
      <c r="N739">
        <f t="shared" si="59"/>
        <v>1678.3899999999999</v>
      </c>
      <c r="O739" s="6">
        <v>0.1</v>
      </c>
      <c r="P739">
        <f t="shared" si="58"/>
        <v>2452.9049999999997</v>
      </c>
    </row>
    <row r="740" spans="1:16" x14ac:dyDescent="0.25">
      <c r="A740" t="s">
        <v>776</v>
      </c>
      <c r="B740" s="1">
        <v>45887</v>
      </c>
      <c r="C740" t="s">
        <v>38</v>
      </c>
      <c r="D740" t="s">
        <v>31</v>
      </c>
      <c r="E740" t="s">
        <v>13</v>
      </c>
      <c r="F740" t="s">
        <v>19</v>
      </c>
      <c r="G740" t="s">
        <v>36</v>
      </c>
      <c r="H740">
        <v>126.61</v>
      </c>
      <c r="I740">
        <v>3</v>
      </c>
      <c r="J740">
        <v>379.83</v>
      </c>
      <c r="K740" t="str">
        <f t="shared" si="55"/>
        <v>Aug</v>
      </c>
      <c r="L740" t="str">
        <f t="shared" si="56"/>
        <v>Low</v>
      </c>
      <c r="M740" t="str">
        <f t="shared" si="57"/>
        <v>Low</v>
      </c>
      <c r="N740">
        <f t="shared" si="59"/>
        <v>-2345.62</v>
      </c>
      <c r="O740" s="6">
        <v>0.1</v>
      </c>
      <c r="P740">
        <f t="shared" si="58"/>
        <v>341.84699999999998</v>
      </c>
    </row>
    <row r="741" spans="1:16" x14ac:dyDescent="0.25">
      <c r="A741" t="s">
        <v>777</v>
      </c>
      <c r="B741" s="1">
        <v>45992</v>
      </c>
      <c r="C741" t="s">
        <v>11</v>
      </c>
      <c r="D741" t="s">
        <v>31</v>
      </c>
      <c r="E741" t="s">
        <v>41</v>
      </c>
      <c r="F741" t="s">
        <v>19</v>
      </c>
      <c r="G741" t="s">
        <v>20</v>
      </c>
      <c r="H741">
        <v>112.93</v>
      </c>
      <c r="I741">
        <v>1</v>
      </c>
      <c r="J741">
        <v>112.93</v>
      </c>
      <c r="K741" t="str">
        <f t="shared" si="55"/>
        <v>Dec</v>
      </c>
      <c r="L741" t="str">
        <f t="shared" si="56"/>
        <v>Low</v>
      </c>
      <c r="M741" t="str">
        <f t="shared" si="57"/>
        <v>Low</v>
      </c>
      <c r="N741">
        <f t="shared" si="59"/>
        <v>-266.89999999999998</v>
      </c>
      <c r="O741" s="6">
        <v>0.1</v>
      </c>
      <c r="P741">
        <f t="shared" si="58"/>
        <v>101.63700000000001</v>
      </c>
    </row>
    <row r="742" spans="1:16" x14ac:dyDescent="0.25">
      <c r="A742" t="s">
        <v>778</v>
      </c>
      <c r="B742" s="1">
        <v>45939</v>
      </c>
      <c r="C742" t="s">
        <v>11</v>
      </c>
      <c r="D742" t="s">
        <v>55</v>
      </c>
      <c r="E742" t="s">
        <v>18</v>
      </c>
      <c r="F742" t="s">
        <v>28</v>
      </c>
      <c r="G742" t="s">
        <v>36</v>
      </c>
      <c r="H742">
        <v>131.79</v>
      </c>
      <c r="I742">
        <v>1</v>
      </c>
      <c r="J742">
        <v>131.79</v>
      </c>
      <c r="K742" t="str">
        <f t="shared" si="55"/>
        <v>Oct</v>
      </c>
      <c r="L742" t="str">
        <f t="shared" si="56"/>
        <v>Low</v>
      </c>
      <c r="M742" t="str">
        <f t="shared" si="57"/>
        <v>Low</v>
      </c>
      <c r="N742">
        <f t="shared" si="59"/>
        <v>18.859999999999985</v>
      </c>
      <c r="O742" s="6">
        <v>0.1</v>
      </c>
      <c r="P742">
        <f t="shared" si="58"/>
        <v>118.61099999999999</v>
      </c>
    </row>
    <row r="743" spans="1:16" x14ac:dyDescent="0.25">
      <c r="A743" t="s">
        <v>779</v>
      </c>
      <c r="B743" s="1">
        <v>45918</v>
      </c>
      <c r="C743" t="s">
        <v>30</v>
      </c>
      <c r="D743" t="s">
        <v>12</v>
      </c>
      <c r="E743" t="s">
        <v>27</v>
      </c>
      <c r="F743" t="s">
        <v>61</v>
      </c>
      <c r="G743" t="s">
        <v>36</v>
      </c>
      <c r="H743">
        <v>96.3</v>
      </c>
      <c r="I743">
        <v>18</v>
      </c>
      <c r="J743">
        <v>1733.4</v>
      </c>
      <c r="K743" t="str">
        <f t="shared" si="55"/>
        <v>Sep</v>
      </c>
      <c r="L743" t="str">
        <f t="shared" si="56"/>
        <v>Low</v>
      </c>
      <c r="M743" t="str">
        <f t="shared" si="57"/>
        <v>Good</v>
      </c>
      <c r="N743">
        <f t="shared" si="59"/>
        <v>1601.6100000000001</v>
      </c>
      <c r="O743" s="6">
        <v>0.1</v>
      </c>
      <c r="P743">
        <f t="shared" si="58"/>
        <v>1560.0600000000002</v>
      </c>
    </row>
    <row r="744" spans="1:16" x14ac:dyDescent="0.25">
      <c r="A744" t="s">
        <v>780</v>
      </c>
      <c r="B744" s="1">
        <v>45844</v>
      </c>
      <c r="C744" t="s">
        <v>30</v>
      </c>
      <c r="D744" t="s">
        <v>31</v>
      </c>
      <c r="E744" t="s">
        <v>13</v>
      </c>
      <c r="F744" t="s">
        <v>42</v>
      </c>
      <c r="G744" t="s">
        <v>20</v>
      </c>
      <c r="H744">
        <v>194.47</v>
      </c>
      <c r="I744">
        <v>2</v>
      </c>
      <c r="J744">
        <v>388.94</v>
      </c>
      <c r="K744" t="str">
        <f t="shared" si="55"/>
        <v>Jul</v>
      </c>
      <c r="L744" t="str">
        <f t="shared" si="56"/>
        <v>Low</v>
      </c>
      <c r="M744" t="str">
        <f t="shared" si="57"/>
        <v>Low</v>
      </c>
      <c r="N744">
        <f t="shared" si="59"/>
        <v>-1344.46</v>
      </c>
      <c r="O744" s="6">
        <v>0.1</v>
      </c>
      <c r="P744">
        <f t="shared" si="58"/>
        <v>350.04599999999999</v>
      </c>
    </row>
    <row r="745" spans="1:16" x14ac:dyDescent="0.25">
      <c r="A745" t="s">
        <v>781</v>
      </c>
      <c r="B745" s="1">
        <v>45965</v>
      </c>
      <c r="C745" t="s">
        <v>17</v>
      </c>
      <c r="D745" t="s">
        <v>12</v>
      </c>
      <c r="E745" t="s">
        <v>13</v>
      </c>
      <c r="F745" t="s">
        <v>28</v>
      </c>
      <c r="G745" t="s">
        <v>36</v>
      </c>
      <c r="H745">
        <v>140.6</v>
      </c>
      <c r="I745">
        <v>16</v>
      </c>
      <c r="J745">
        <v>2249.6</v>
      </c>
      <c r="K745" t="str">
        <f t="shared" si="55"/>
        <v>Nov</v>
      </c>
      <c r="L745" t="str">
        <f t="shared" si="56"/>
        <v>High</v>
      </c>
      <c r="M745" t="str">
        <f t="shared" si="57"/>
        <v>Good</v>
      </c>
      <c r="N745">
        <f t="shared" si="59"/>
        <v>1860.6599999999999</v>
      </c>
      <c r="O745" s="6">
        <v>0.1</v>
      </c>
      <c r="P745">
        <f t="shared" si="58"/>
        <v>2024.6399999999999</v>
      </c>
    </row>
    <row r="746" spans="1:16" x14ac:dyDescent="0.25">
      <c r="A746" t="s">
        <v>782</v>
      </c>
      <c r="B746" s="1">
        <v>45716</v>
      </c>
      <c r="C746" t="s">
        <v>17</v>
      </c>
      <c r="D746" t="s">
        <v>26</v>
      </c>
      <c r="E746" t="s">
        <v>45</v>
      </c>
      <c r="F746" t="s">
        <v>32</v>
      </c>
      <c r="G746" t="s">
        <v>36</v>
      </c>
      <c r="H746">
        <v>81.09</v>
      </c>
      <c r="I746">
        <v>4</v>
      </c>
      <c r="J746">
        <v>324.36</v>
      </c>
      <c r="K746" t="str">
        <f t="shared" si="55"/>
        <v>Feb</v>
      </c>
      <c r="L746" t="str">
        <f t="shared" si="56"/>
        <v>Low</v>
      </c>
      <c r="M746" t="str">
        <f t="shared" si="57"/>
        <v>Low</v>
      </c>
      <c r="N746">
        <f t="shared" si="59"/>
        <v>-1925.2399999999998</v>
      </c>
      <c r="O746" s="6">
        <v>0.1</v>
      </c>
      <c r="P746">
        <f t="shared" si="58"/>
        <v>291.92400000000004</v>
      </c>
    </row>
    <row r="747" spans="1:16" x14ac:dyDescent="0.25">
      <c r="A747" t="s">
        <v>783</v>
      </c>
      <c r="B747" s="1">
        <v>45982</v>
      </c>
      <c r="C747" t="s">
        <v>25</v>
      </c>
      <c r="D747" t="s">
        <v>55</v>
      </c>
      <c r="E747" t="s">
        <v>13</v>
      </c>
      <c r="F747" t="s">
        <v>28</v>
      </c>
      <c r="G747" t="s">
        <v>15</v>
      </c>
      <c r="H747">
        <v>227.91</v>
      </c>
      <c r="I747">
        <v>10</v>
      </c>
      <c r="J747">
        <v>2279.1</v>
      </c>
      <c r="K747" t="str">
        <f t="shared" si="55"/>
        <v>Nov</v>
      </c>
      <c r="L747" t="str">
        <f t="shared" si="56"/>
        <v>High</v>
      </c>
      <c r="M747" t="str">
        <f t="shared" si="57"/>
        <v>Good</v>
      </c>
      <c r="N747">
        <f t="shared" si="59"/>
        <v>1954.7399999999998</v>
      </c>
      <c r="O747" s="6">
        <v>0.1</v>
      </c>
      <c r="P747">
        <f t="shared" si="58"/>
        <v>2051.19</v>
      </c>
    </row>
    <row r="748" spans="1:16" x14ac:dyDescent="0.25">
      <c r="A748" t="s">
        <v>784</v>
      </c>
      <c r="B748" s="1">
        <v>45681</v>
      </c>
      <c r="C748" t="s">
        <v>38</v>
      </c>
      <c r="D748" t="s">
        <v>26</v>
      </c>
      <c r="E748" t="s">
        <v>27</v>
      </c>
      <c r="F748" t="s">
        <v>28</v>
      </c>
      <c r="G748" t="s">
        <v>20</v>
      </c>
      <c r="H748">
        <v>114.46</v>
      </c>
      <c r="I748">
        <v>6</v>
      </c>
      <c r="J748">
        <v>686.76</v>
      </c>
      <c r="K748" t="str">
        <f t="shared" si="55"/>
        <v>Jan</v>
      </c>
      <c r="L748" t="str">
        <f t="shared" si="56"/>
        <v>Low</v>
      </c>
      <c r="M748" t="str">
        <f t="shared" si="57"/>
        <v>Average</v>
      </c>
      <c r="N748">
        <f t="shared" si="59"/>
        <v>-1592.34</v>
      </c>
      <c r="O748" s="6">
        <v>0.1</v>
      </c>
      <c r="P748">
        <f t="shared" si="58"/>
        <v>618.08400000000006</v>
      </c>
    </row>
    <row r="749" spans="1:16" x14ac:dyDescent="0.25">
      <c r="A749" t="s">
        <v>785</v>
      </c>
      <c r="B749" s="1">
        <v>45867</v>
      </c>
      <c r="C749" t="s">
        <v>34</v>
      </c>
      <c r="D749" t="s">
        <v>55</v>
      </c>
      <c r="E749" t="s">
        <v>23</v>
      </c>
      <c r="F749" t="s">
        <v>14</v>
      </c>
      <c r="G749" t="s">
        <v>15</v>
      </c>
      <c r="H749">
        <v>149.58000000000001</v>
      </c>
      <c r="I749">
        <v>4</v>
      </c>
      <c r="J749">
        <v>598.32000000000005</v>
      </c>
      <c r="K749" t="str">
        <f t="shared" si="55"/>
        <v>Jul</v>
      </c>
      <c r="L749" t="str">
        <f t="shared" si="56"/>
        <v>Low</v>
      </c>
      <c r="M749" t="str">
        <f t="shared" si="57"/>
        <v>Average</v>
      </c>
      <c r="N749">
        <f t="shared" si="59"/>
        <v>-88.439999999999941</v>
      </c>
      <c r="O749" s="6">
        <v>0.1</v>
      </c>
      <c r="P749">
        <f t="shared" si="58"/>
        <v>538.48800000000006</v>
      </c>
    </row>
    <row r="750" spans="1:16" x14ac:dyDescent="0.25">
      <c r="A750" t="s">
        <v>786</v>
      </c>
      <c r="B750" s="1">
        <v>45859</v>
      </c>
      <c r="C750" t="s">
        <v>38</v>
      </c>
      <c r="D750" t="s">
        <v>26</v>
      </c>
      <c r="E750" t="s">
        <v>27</v>
      </c>
      <c r="F750" t="s">
        <v>32</v>
      </c>
      <c r="G750" t="s">
        <v>15</v>
      </c>
      <c r="H750">
        <v>229.42</v>
      </c>
      <c r="I750">
        <v>7</v>
      </c>
      <c r="J750">
        <v>1605.94</v>
      </c>
      <c r="K750" t="str">
        <f t="shared" si="55"/>
        <v>Jul</v>
      </c>
      <c r="L750" t="str">
        <f t="shared" si="56"/>
        <v>Low</v>
      </c>
      <c r="M750" t="str">
        <f t="shared" si="57"/>
        <v>Good</v>
      </c>
      <c r="N750">
        <f t="shared" si="59"/>
        <v>1007.62</v>
      </c>
      <c r="O750" s="6">
        <v>0.1</v>
      </c>
      <c r="P750">
        <f t="shared" si="58"/>
        <v>1445.346</v>
      </c>
    </row>
    <row r="751" spans="1:16" x14ac:dyDescent="0.25">
      <c r="A751" t="s">
        <v>787</v>
      </c>
      <c r="B751" s="1">
        <v>45870</v>
      </c>
      <c r="C751" t="s">
        <v>17</v>
      </c>
      <c r="D751" t="s">
        <v>12</v>
      </c>
      <c r="E751" t="s">
        <v>18</v>
      </c>
      <c r="F751" t="s">
        <v>19</v>
      </c>
      <c r="G751" t="s">
        <v>36</v>
      </c>
      <c r="H751">
        <v>167.33</v>
      </c>
      <c r="I751">
        <v>2</v>
      </c>
      <c r="J751">
        <v>334.66</v>
      </c>
      <c r="K751" t="str">
        <f t="shared" si="55"/>
        <v>Aug</v>
      </c>
      <c r="L751" t="str">
        <f t="shared" si="56"/>
        <v>Low</v>
      </c>
      <c r="M751" t="str">
        <f t="shared" si="57"/>
        <v>Low</v>
      </c>
      <c r="N751">
        <f t="shared" si="59"/>
        <v>-1271.28</v>
      </c>
      <c r="O751" s="6">
        <v>0.1</v>
      </c>
      <c r="P751">
        <f t="shared" si="58"/>
        <v>301.19400000000002</v>
      </c>
    </row>
    <row r="752" spans="1:16" x14ac:dyDescent="0.25">
      <c r="A752" t="s">
        <v>788</v>
      </c>
      <c r="B752" s="1">
        <v>45892</v>
      </c>
      <c r="C752" t="s">
        <v>25</v>
      </c>
      <c r="D752" t="s">
        <v>26</v>
      </c>
      <c r="E752" t="s">
        <v>41</v>
      </c>
      <c r="F752" t="s">
        <v>19</v>
      </c>
      <c r="G752" t="s">
        <v>20</v>
      </c>
      <c r="H752">
        <v>55.72</v>
      </c>
      <c r="I752">
        <v>19</v>
      </c>
      <c r="J752">
        <v>1058.68</v>
      </c>
      <c r="K752" t="str">
        <f t="shared" si="55"/>
        <v>Aug</v>
      </c>
      <c r="L752" t="str">
        <f t="shared" si="56"/>
        <v>Low</v>
      </c>
      <c r="M752" t="str">
        <f t="shared" si="57"/>
        <v>Average</v>
      </c>
      <c r="N752">
        <f t="shared" si="59"/>
        <v>724.02</v>
      </c>
      <c r="O752" s="6">
        <v>0.1</v>
      </c>
      <c r="P752">
        <f t="shared" si="58"/>
        <v>952.81200000000013</v>
      </c>
    </row>
    <row r="753" spans="1:16" x14ac:dyDescent="0.25">
      <c r="A753" t="s">
        <v>789</v>
      </c>
      <c r="B753" s="1">
        <v>45682</v>
      </c>
      <c r="C753" t="s">
        <v>38</v>
      </c>
      <c r="D753" t="s">
        <v>55</v>
      </c>
      <c r="E753" t="s">
        <v>41</v>
      </c>
      <c r="F753" t="s">
        <v>42</v>
      </c>
      <c r="G753" t="s">
        <v>15</v>
      </c>
      <c r="H753">
        <v>236.76</v>
      </c>
      <c r="I753">
        <v>18</v>
      </c>
      <c r="J753">
        <v>4261.68</v>
      </c>
      <c r="K753" t="str">
        <f t="shared" si="55"/>
        <v>Jan</v>
      </c>
      <c r="L753" t="str">
        <f t="shared" si="56"/>
        <v>High</v>
      </c>
      <c r="M753" t="str">
        <f t="shared" si="57"/>
        <v>Excellent</v>
      </c>
      <c r="N753">
        <f t="shared" si="59"/>
        <v>3203</v>
      </c>
      <c r="O753" s="6">
        <v>0.1</v>
      </c>
      <c r="P753">
        <f t="shared" si="58"/>
        <v>3835.5120000000002</v>
      </c>
    </row>
    <row r="754" spans="1:16" x14ac:dyDescent="0.25">
      <c r="A754" t="s">
        <v>790</v>
      </c>
      <c r="B754" s="1">
        <v>46012</v>
      </c>
      <c r="C754" t="s">
        <v>30</v>
      </c>
      <c r="D754" t="s">
        <v>12</v>
      </c>
      <c r="E754" t="s">
        <v>23</v>
      </c>
      <c r="F754" t="s">
        <v>19</v>
      </c>
      <c r="G754" t="s">
        <v>36</v>
      </c>
      <c r="H754">
        <v>168.1</v>
      </c>
      <c r="I754">
        <v>19</v>
      </c>
      <c r="J754">
        <v>3193.9</v>
      </c>
      <c r="K754" t="str">
        <f t="shared" si="55"/>
        <v>Dec</v>
      </c>
      <c r="L754" t="str">
        <f t="shared" si="56"/>
        <v>High</v>
      </c>
      <c r="M754" t="str">
        <f t="shared" si="57"/>
        <v>Excellent</v>
      </c>
      <c r="N754">
        <f t="shared" si="59"/>
        <v>-1067.7800000000002</v>
      </c>
      <c r="O754" s="6">
        <v>0.1</v>
      </c>
      <c r="P754">
        <f t="shared" si="58"/>
        <v>2874.51</v>
      </c>
    </row>
    <row r="755" spans="1:16" x14ac:dyDescent="0.25">
      <c r="A755" t="s">
        <v>791</v>
      </c>
      <c r="B755" s="1">
        <v>45994</v>
      </c>
      <c r="C755" t="s">
        <v>25</v>
      </c>
      <c r="D755" t="s">
        <v>35</v>
      </c>
      <c r="E755" t="s">
        <v>18</v>
      </c>
      <c r="F755" t="s">
        <v>61</v>
      </c>
      <c r="G755" t="s">
        <v>36</v>
      </c>
      <c r="H755">
        <v>103.68</v>
      </c>
      <c r="I755">
        <v>20</v>
      </c>
      <c r="J755">
        <v>2073.6</v>
      </c>
      <c r="K755" t="str">
        <f t="shared" si="55"/>
        <v>Dec</v>
      </c>
      <c r="L755" t="str">
        <f t="shared" si="56"/>
        <v>High</v>
      </c>
      <c r="M755" t="str">
        <f t="shared" si="57"/>
        <v>Good</v>
      </c>
      <c r="N755">
        <f t="shared" si="59"/>
        <v>-1120.3000000000002</v>
      </c>
      <c r="O755" s="6">
        <v>0.1</v>
      </c>
      <c r="P755">
        <f t="shared" si="58"/>
        <v>1866.24</v>
      </c>
    </row>
    <row r="756" spans="1:16" x14ac:dyDescent="0.25">
      <c r="A756" t="s">
        <v>792</v>
      </c>
      <c r="B756" s="1">
        <v>45969</v>
      </c>
      <c r="C756" t="s">
        <v>34</v>
      </c>
      <c r="D756" t="s">
        <v>31</v>
      </c>
      <c r="E756" t="s">
        <v>13</v>
      </c>
      <c r="F756" t="s">
        <v>32</v>
      </c>
      <c r="G756" t="s">
        <v>36</v>
      </c>
      <c r="H756">
        <v>60.64</v>
      </c>
      <c r="I756">
        <v>8</v>
      </c>
      <c r="J756">
        <v>485.12</v>
      </c>
      <c r="K756" t="str">
        <f t="shared" si="55"/>
        <v>Nov</v>
      </c>
      <c r="L756" t="str">
        <f t="shared" si="56"/>
        <v>Low</v>
      </c>
      <c r="M756" t="str">
        <f t="shared" si="57"/>
        <v>Low</v>
      </c>
      <c r="N756">
        <f t="shared" si="59"/>
        <v>-1588.48</v>
      </c>
      <c r="O756" s="6">
        <v>0.1</v>
      </c>
      <c r="P756">
        <f t="shared" si="58"/>
        <v>436.608</v>
      </c>
    </row>
    <row r="757" spans="1:16" x14ac:dyDescent="0.25">
      <c r="A757" t="s">
        <v>793</v>
      </c>
      <c r="B757" s="1">
        <v>45726</v>
      </c>
      <c r="C757" t="s">
        <v>38</v>
      </c>
      <c r="D757" t="s">
        <v>55</v>
      </c>
      <c r="E757" t="s">
        <v>27</v>
      </c>
      <c r="F757" t="s">
        <v>28</v>
      </c>
      <c r="G757" t="s">
        <v>20</v>
      </c>
      <c r="H757">
        <v>204.69</v>
      </c>
      <c r="I757">
        <v>5</v>
      </c>
      <c r="J757">
        <v>1023.45</v>
      </c>
      <c r="K757" t="str">
        <f t="shared" si="55"/>
        <v>Mar</v>
      </c>
      <c r="L757" t="str">
        <f t="shared" si="56"/>
        <v>Low</v>
      </c>
      <c r="M757" t="str">
        <f t="shared" si="57"/>
        <v>Average</v>
      </c>
      <c r="N757">
        <f t="shared" si="59"/>
        <v>538.33000000000004</v>
      </c>
      <c r="O757" s="6">
        <v>0.1</v>
      </c>
      <c r="P757">
        <f t="shared" si="58"/>
        <v>921.10500000000002</v>
      </c>
    </row>
    <row r="758" spans="1:16" x14ac:dyDescent="0.25">
      <c r="A758" t="s">
        <v>794</v>
      </c>
      <c r="B758" s="1">
        <v>45811</v>
      </c>
      <c r="C758" t="s">
        <v>34</v>
      </c>
      <c r="D758" t="s">
        <v>12</v>
      </c>
      <c r="E758" t="s">
        <v>27</v>
      </c>
      <c r="F758" t="s">
        <v>42</v>
      </c>
      <c r="G758" t="s">
        <v>20</v>
      </c>
      <c r="H758">
        <v>166.42</v>
      </c>
      <c r="I758">
        <v>18</v>
      </c>
      <c r="J758">
        <v>2995.56</v>
      </c>
      <c r="K758" t="str">
        <f t="shared" si="55"/>
        <v>Jun</v>
      </c>
      <c r="L758" t="str">
        <f t="shared" si="56"/>
        <v>High</v>
      </c>
      <c r="M758" t="str">
        <f t="shared" si="57"/>
        <v>Good</v>
      </c>
      <c r="N758">
        <f t="shared" si="59"/>
        <v>1972.11</v>
      </c>
      <c r="O758" s="6">
        <v>0.1</v>
      </c>
      <c r="P758">
        <f t="shared" si="58"/>
        <v>2696.0039999999999</v>
      </c>
    </row>
    <row r="759" spans="1:16" x14ac:dyDescent="0.25">
      <c r="A759" t="s">
        <v>795</v>
      </c>
      <c r="B759" s="1">
        <v>45769</v>
      </c>
      <c r="C759" t="s">
        <v>30</v>
      </c>
      <c r="D759" t="s">
        <v>55</v>
      </c>
      <c r="E759" t="s">
        <v>27</v>
      </c>
      <c r="F759" t="s">
        <v>32</v>
      </c>
      <c r="G759" t="s">
        <v>20</v>
      </c>
      <c r="H759">
        <v>147.36000000000001</v>
      </c>
      <c r="I759">
        <v>7</v>
      </c>
      <c r="J759">
        <v>1031.52</v>
      </c>
      <c r="K759" t="str">
        <f t="shared" si="55"/>
        <v>Apr</v>
      </c>
      <c r="L759" t="str">
        <f t="shared" si="56"/>
        <v>Low</v>
      </c>
      <c r="M759" t="str">
        <f t="shared" si="57"/>
        <v>Average</v>
      </c>
      <c r="N759">
        <f t="shared" si="59"/>
        <v>-1964.04</v>
      </c>
      <c r="O759" s="6">
        <v>0.1</v>
      </c>
      <c r="P759">
        <f t="shared" si="58"/>
        <v>928.36800000000005</v>
      </c>
    </row>
    <row r="760" spans="1:16" x14ac:dyDescent="0.25">
      <c r="A760" t="s">
        <v>796</v>
      </c>
      <c r="B760" s="1">
        <v>45834</v>
      </c>
      <c r="C760" t="s">
        <v>17</v>
      </c>
      <c r="D760" t="s">
        <v>12</v>
      </c>
      <c r="E760" t="s">
        <v>23</v>
      </c>
      <c r="F760" t="s">
        <v>42</v>
      </c>
      <c r="G760" t="s">
        <v>20</v>
      </c>
      <c r="H760">
        <v>226.66</v>
      </c>
      <c r="I760">
        <v>5</v>
      </c>
      <c r="J760">
        <v>1133.3</v>
      </c>
      <c r="K760" t="str">
        <f t="shared" si="55"/>
        <v>Jun</v>
      </c>
      <c r="L760" t="str">
        <f t="shared" si="56"/>
        <v>Low</v>
      </c>
      <c r="M760" t="str">
        <f t="shared" si="57"/>
        <v>Average</v>
      </c>
      <c r="N760">
        <f t="shared" si="59"/>
        <v>101.77999999999997</v>
      </c>
      <c r="O760" s="6">
        <v>0.1</v>
      </c>
      <c r="P760">
        <f t="shared" si="58"/>
        <v>1019.97</v>
      </c>
    </row>
    <row r="761" spans="1:16" x14ac:dyDescent="0.25">
      <c r="A761" t="s">
        <v>797</v>
      </c>
      <c r="B761" s="1">
        <v>46013</v>
      </c>
      <c r="C761" t="s">
        <v>17</v>
      </c>
      <c r="D761" t="s">
        <v>22</v>
      </c>
      <c r="E761" t="s">
        <v>13</v>
      </c>
      <c r="F761" t="s">
        <v>42</v>
      </c>
      <c r="G761" t="s">
        <v>36</v>
      </c>
      <c r="H761">
        <v>203.49</v>
      </c>
      <c r="I761">
        <v>11</v>
      </c>
      <c r="J761">
        <v>2238.39</v>
      </c>
      <c r="K761" t="str">
        <f t="shared" si="55"/>
        <v>Dec</v>
      </c>
      <c r="L761" t="str">
        <f t="shared" si="56"/>
        <v>High</v>
      </c>
      <c r="M761" t="str">
        <f t="shared" si="57"/>
        <v>Good</v>
      </c>
      <c r="N761">
        <f t="shared" si="59"/>
        <v>1105.0899999999999</v>
      </c>
      <c r="O761" s="6">
        <v>0.1</v>
      </c>
      <c r="P761">
        <f t="shared" si="58"/>
        <v>2014.5509999999999</v>
      </c>
    </row>
    <row r="762" spans="1:16" x14ac:dyDescent="0.25">
      <c r="A762" t="s">
        <v>798</v>
      </c>
      <c r="B762" s="1">
        <v>45956</v>
      </c>
      <c r="C762" t="s">
        <v>17</v>
      </c>
      <c r="D762" t="s">
        <v>12</v>
      </c>
      <c r="E762" t="s">
        <v>41</v>
      </c>
      <c r="F762" t="s">
        <v>28</v>
      </c>
      <c r="G762" t="s">
        <v>20</v>
      </c>
      <c r="H762">
        <v>63.37</v>
      </c>
      <c r="I762">
        <v>19</v>
      </c>
      <c r="J762">
        <v>1204.03</v>
      </c>
      <c r="K762" t="str">
        <f t="shared" si="55"/>
        <v>Oct</v>
      </c>
      <c r="L762" t="str">
        <f t="shared" si="56"/>
        <v>Low</v>
      </c>
      <c r="M762" t="str">
        <f t="shared" si="57"/>
        <v>Average</v>
      </c>
      <c r="N762">
        <f t="shared" si="59"/>
        <v>-1034.3599999999999</v>
      </c>
      <c r="O762" s="6">
        <v>0.1</v>
      </c>
      <c r="P762">
        <f t="shared" si="58"/>
        <v>1083.627</v>
      </c>
    </row>
    <row r="763" spans="1:16" x14ac:dyDescent="0.25">
      <c r="A763" t="s">
        <v>799</v>
      </c>
      <c r="B763" s="1">
        <v>45931</v>
      </c>
      <c r="C763" t="s">
        <v>38</v>
      </c>
      <c r="D763" t="s">
        <v>22</v>
      </c>
      <c r="E763" t="s">
        <v>18</v>
      </c>
      <c r="F763" t="s">
        <v>19</v>
      </c>
      <c r="G763" t="s">
        <v>15</v>
      </c>
      <c r="H763">
        <v>98.58</v>
      </c>
      <c r="I763">
        <v>10</v>
      </c>
      <c r="J763">
        <v>985.8</v>
      </c>
      <c r="K763" t="str">
        <f t="shared" si="55"/>
        <v>Oct</v>
      </c>
      <c r="L763" t="str">
        <f t="shared" si="56"/>
        <v>Low</v>
      </c>
      <c r="M763" t="str">
        <f t="shared" si="57"/>
        <v>Average</v>
      </c>
      <c r="N763">
        <f t="shared" si="59"/>
        <v>-218.23000000000002</v>
      </c>
      <c r="O763" s="6">
        <v>0.1</v>
      </c>
      <c r="P763">
        <f t="shared" si="58"/>
        <v>887.22</v>
      </c>
    </row>
    <row r="764" spans="1:16" x14ac:dyDescent="0.25">
      <c r="A764" t="s">
        <v>800</v>
      </c>
      <c r="B764" s="1">
        <v>45853</v>
      </c>
      <c r="C764" t="s">
        <v>11</v>
      </c>
      <c r="D764" t="s">
        <v>12</v>
      </c>
      <c r="E764" t="s">
        <v>45</v>
      </c>
      <c r="F764" t="s">
        <v>14</v>
      </c>
      <c r="G764" t="s">
        <v>36</v>
      </c>
      <c r="H764">
        <v>84.67</v>
      </c>
      <c r="I764">
        <v>5</v>
      </c>
      <c r="J764">
        <v>423.35</v>
      </c>
      <c r="K764" t="str">
        <f t="shared" si="55"/>
        <v>Jul</v>
      </c>
      <c r="L764" t="str">
        <f t="shared" si="56"/>
        <v>Low</v>
      </c>
      <c r="M764" t="str">
        <f t="shared" si="57"/>
        <v>Low</v>
      </c>
      <c r="N764">
        <f t="shared" si="59"/>
        <v>-562.44999999999993</v>
      </c>
      <c r="O764" s="6">
        <v>0.1</v>
      </c>
      <c r="P764">
        <f t="shared" si="58"/>
        <v>381.01500000000004</v>
      </c>
    </row>
    <row r="765" spans="1:16" x14ac:dyDescent="0.25">
      <c r="A765" t="s">
        <v>801</v>
      </c>
      <c r="B765" s="1">
        <v>45740</v>
      </c>
      <c r="C765" t="s">
        <v>17</v>
      </c>
      <c r="D765" t="s">
        <v>35</v>
      </c>
      <c r="E765" t="s">
        <v>23</v>
      </c>
      <c r="F765" t="s">
        <v>39</v>
      </c>
      <c r="G765" t="s">
        <v>15</v>
      </c>
      <c r="H765">
        <v>193.67</v>
      </c>
      <c r="I765">
        <v>10</v>
      </c>
      <c r="J765">
        <v>1936.7</v>
      </c>
      <c r="K765" t="str">
        <f t="shared" si="55"/>
        <v>Mar</v>
      </c>
      <c r="L765" t="str">
        <f t="shared" si="56"/>
        <v>Low</v>
      </c>
      <c r="M765" t="str">
        <f t="shared" si="57"/>
        <v>Good</v>
      </c>
      <c r="N765">
        <f t="shared" si="59"/>
        <v>1513.35</v>
      </c>
      <c r="O765" s="6">
        <v>0.1</v>
      </c>
      <c r="P765">
        <f t="shared" si="58"/>
        <v>1743.03</v>
      </c>
    </row>
    <row r="766" spans="1:16" x14ac:dyDescent="0.25">
      <c r="A766" t="s">
        <v>802</v>
      </c>
      <c r="B766" s="1">
        <v>46011</v>
      </c>
      <c r="C766" t="s">
        <v>30</v>
      </c>
      <c r="D766" t="s">
        <v>55</v>
      </c>
      <c r="E766" t="s">
        <v>45</v>
      </c>
      <c r="F766" t="s">
        <v>32</v>
      </c>
      <c r="G766" t="s">
        <v>36</v>
      </c>
      <c r="H766">
        <v>37.380000000000003</v>
      </c>
      <c r="I766">
        <v>10</v>
      </c>
      <c r="J766">
        <v>373.8</v>
      </c>
      <c r="K766" t="str">
        <f t="shared" si="55"/>
        <v>Dec</v>
      </c>
      <c r="L766" t="str">
        <f t="shared" si="56"/>
        <v>Low</v>
      </c>
      <c r="M766" t="str">
        <f t="shared" si="57"/>
        <v>Low</v>
      </c>
      <c r="N766">
        <f t="shared" si="59"/>
        <v>-1562.9</v>
      </c>
      <c r="O766" s="6">
        <v>0.1</v>
      </c>
      <c r="P766">
        <f t="shared" si="58"/>
        <v>336.42</v>
      </c>
    </row>
    <row r="767" spans="1:16" x14ac:dyDescent="0.25">
      <c r="A767" t="s">
        <v>803</v>
      </c>
      <c r="B767" s="1">
        <v>45710</v>
      </c>
      <c r="C767" t="s">
        <v>17</v>
      </c>
      <c r="D767" t="s">
        <v>12</v>
      </c>
      <c r="E767" t="s">
        <v>18</v>
      </c>
      <c r="F767" t="s">
        <v>39</v>
      </c>
      <c r="G767" t="s">
        <v>15</v>
      </c>
      <c r="H767">
        <v>155.38</v>
      </c>
      <c r="I767">
        <v>20</v>
      </c>
      <c r="J767">
        <v>3107.6</v>
      </c>
      <c r="K767" t="str">
        <f t="shared" si="55"/>
        <v>Feb</v>
      </c>
      <c r="L767" t="str">
        <f t="shared" si="56"/>
        <v>High</v>
      </c>
      <c r="M767" t="str">
        <f t="shared" si="57"/>
        <v>Excellent</v>
      </c>
      <c r="N767">
        <f t="shared" si="59"/>
        <v>2733.7999999999997</v>
      </c>
      <c r="O767" s="6">
        <v>0.1</v>
      </c>
      <c r="P767">
        <f t="shared" si="58"/>
        <v>2796.84</v>
      </c>
    </row>
    <row r="768" spans="1:16" x14ac:dyDescent="0.25">
      <c r="A768" t="s">
        <v>804</v>
      </c>
      <c r="B768" s="1">
        <v>45989</v>
      </c>
      <c r="C768" t="s">
        <v>38</v>
      </c>
      <c r="D768" t="s">
        <v>26</v>
      </c>
      <c r="E768" t="s">
        <v>18</v>
      </c>
      <c r="F768" t="s">
        <v>39</v>
      </c>
      <c r="G768" t="s">
        <v>20</v>
      </c>
      <c r="H768">
        <v>197.74</v>
      </c>
      <c r="I768">
        <v>18</v>
      </c>
      <c r="J768">
        <v>3559.32</v>
      </c>
      <c r="K768" t="str">
        <f t="shared" si="55"/>
        <v>Nov</v>
      </c>
      <c r="L768" t="str">
        <f t="shared" si="56"/>
        <v>High</v>
      </c>
      <c r="M768" t="str">
        <f t="shared" si="57"/>
        <v>Excellent</v>
      </c>
      <c r="N768">
        <f t="shared" si="59"/>
        <v>451.72000000000025</v>
      </c>
      <c r="O768" s="6">
        <v>0.1</v>
      </c>
      <c r="P768">
        <f t="shared" si="58"/>
        <v>3203.3880000000004</v>
      </c>
    </row>
    <row r="769" spans="1:16" x14ac:dyDescent="0.25">
      <c r="A769" t="s">
        <v>805</v>
      </c>
      <c r="B769" s="1">
        <v>45805</v>
      </c>
      <c r="C769" t="s">
        <v>38</v>
      </c>
      <c r="D769" t="s">
        <v>31</v>
      </c>
      <c r="E769" t="s">
        <v>41</v>
      </c>
      <c r="F769" t="s">
        <v>39</v>
      </c>
      <c r="G769" t="s">
        <v>20</v>
      </c>
      <c r="H769">
        <v>222.89</v>
      </c>
      <c r="I769">
        <v>2</v>
      </c>
      <c r="J769">
        <v>445.78</v>
      </c>
      <c r="K769" t="str">
        <f t="shared" si="55"/>
        <v>May</v>
      </c>
      <c r="L769" t="str">
        <f t="shared" si="56"/>
        <v>Low</v>
      </c>
      <c r="M769" t="str">
        <f t="shared" si="57"/>
        <v>Low</v>
      </c>
      <c r="N769">
        <f t="shared" si="59"/>
        <v>-3113.54</v>
      </c>
      <c r="O769" s="6">
        <v>0.1</v>
      </c>
      <c r="P769">
        <f t="shared" si="58"/>
        <v>401.202</v>
      </c>
    </row>
    <row r="770" spans="1:16" x14ac:dyDescent="0.25">
      <c r="A770" t="s">
        <v>806</v>
      </c>
      <c r="B770" s="1">
        <v>45818</v>
      </c>
      <c r="C770" t="s">
        <v>11</v>
      </c>
      <c r="D770" t="s">
        <v>22</v>
      </c>
      <c r="E770" t="s">
        <v>27</v>
      </c>
      <c r="F770" t="s">
        <v>32</v>
      </c>
      <c r="G770" t="s">
        <v>15</v>
      </c>
      <c r="H770">
        <v>105.26</v>
      </c>
      <c r="I770">
        <v>18</v>
      </c>
      <c r="J770">
        <v>1894.68</v>
      </c>
      <c r="K770" t="str">
        <f t="shared" ref="K770:K833" si="60">TEXT(B770,"MMM")</f>
        <v>Jun</v>
      </c>
      <c r="L770" t="str">
        <f t="shared" ref="L770:L833" si="61">IF(J770&gt;2000,"High","Low")</f>
        <v>Low</v>
      </c>
      <c r="M770" t="str">
        <f t="shared" ref="M770:M833" si="62">IF(J770&gt;3000,"Excellent",
 IF(J770&gt;1500,"Good",
 IF(J770&gt;500,"Average","Low")))</f>
        <v>Good</v>
      </c>
      <c r="N770">
        <f t="shared" si="59"/>
        <v>1448.9</v>
      </c>
      <c r="O770" s="6">
        <v>0.1</v>
      </c>
      <c r="P770">
        <f t="shared" ref="P770:P833" si="63">J770*(1-O770)</f>
        <v>1705.212</v>
      </c>
    </row>
    <row r="771" spans="1:16" x14ac:dyDescent="0.25">
      <c r="A771" t="s">
        <v>807</v>
      </c>
      <c r="B771" s="1">
        <v>45975</v>
      </c>
      <c r="C771" t="s">
        <v>30</v>
      </c>
      <c r="D771" t="s">
        <v>12</v>
      </c>
      <c r="E771" t="s">
        <v>27</v>
      </c>
      <c r="F771" t="s">
        <v>28</v>
      </c>
      <c r="G771" t="s">
        <v>20</v>
      </c>
      <c r="H771">
        <v>210.68</v>
      </c>
      <c r="I771">
        <v>15</v>
      </c>
      <c r="J771">
        <v>3160.2</v>
      </c>
      <c r="K771" t="str">
        <f t="shared" si="60"/>
        <v>Nov</v>
      </c>
      <c r="L771" t="str">
        <f t="shared" si="61"/>
        <v>High</v>
      </c>
      <c r="M771" t="str">
        <f t="shared" si="62"/>
        <v>Excellent</v>
      </c>
      <c r="N771">
        <f t="shared" ref="N771:N834" si="64">J771-J770</f>
        <v>1265.5199999999998</v>
      </c>
      <c r="O771" s="6">
        <v>0.1</v>
      </c>
      <c r="P771">
        <f t="shared" si="63"/>
        <v>2844.18</v>
      </c>
    </row>
    <row r="772" spans="1:16" x14ac:dyDescent="0.25">
      <c r="A772" t="s">
        <v>808</v>
      </c>
      <c r="B772" s="1">
        <v>45846</v>
      </c>
      <c r="C772" t="s">
        <v>25</v>
      </c>
      <c r="D772" t="s">
        <v>12</v>
      </c>
      <c r="E772" t="s">
        <v>18</v>
      </c>
      <c r="F772" t="s">
        <v>14</v>
      </c>
      <c r="G772" t="s">
        <v>20</v>
      </c>
      <c r="H772">
        <v>54.34</v>
      </c>
      <c r="I772">
        <v>19</v>
      </c>
      <c r="J772">
        <v>1032.46</v>
      </c>
      <c r="K772" t="str">
        <f t="shared" si="60"/>
        <v>Jul</v>
      </c>
      <c r="L772" t="str">
        <f t="shared" si="61"/>
        <v>Low</v>
      </c>
      <c r="M772" t="str">
        <f t="shared" si="62"/>
        <v>Average</v>
      </c>
      <c r="N772">
        <f t="shared" si="64"/>
        <v>-2127.7399999999998</v>
      </c>
      <c r="O772" s="6">
        <v>0.1</v>
      </c>
      <c r="P772">
        <f t="shared" si="63"/>
        <v>929.21400000000006</v>
      </c>
    </row>
    <row r="773" spans="1:16" x14ac:dyDescent="0.25">
      <c r="A773" t="s">
        <v>809</v>
      </c>
      <c r="B773" s="1">
        <v>45757</v>
      </c>
      <c r="C773" t="s">
        <v>38</v>
      </c>
      <c r="D773" t="s">
        <v>26</v>
      </c>
      <c r="E773" t="s">
        <v>27</v>
      </c>
      <c r="F773" t="s">
        <v>19</v>
      </c>
      <c r="G773" t="s">
        <v>15</v>
      </c>
      <c r="H773">
        <v>216.22</v>
      </c>
      <c r="I773">
        <v>10</v>
      </c>
      <c r="J773">
        <v>2162.1999999999998</v>
      </c>
      <c r="K773" t="str">
        <f t="shared" si="60"/>
        <v>Apr</v>
      </c>
      <c r="L773" t="str">
        <f t="shared" si="61"/>
        <v>High</v>
      </c>
      <c r="M773" t="str">
        <f t="shared" si="62"/>
        <v>Good</v>
      </c>
      <c r="N773">
        <f t="shared" si="64"/>
        <v>1129.7399999999998</v>
      </c>
      <c r="O773" s="6">
        <v>0.1</v>
      </c>
      <c r="P773">
        <f t="shared" si="63"/>
        <v>1945.9799999999998</v>
      </c>
    </row>
    <row r="774" spans="1:16" x14ac:dyDescent="0.25">
      <c r="A774" t="s">
        <v>810</v>
      </c>
      <c r="B774" s="1">
        <v>45746</v>
      </c>
      <c r="C774" t="s">
        <v>11</v>
      </c>
      <c r="D774" t="s">
        <v>31</v>
      </c>
      <c r="E774" t="s">
        <v>45</v>
      </c>
      <c r="F774" t="s">
        <v>61</v>
      </c>
      <c r="G774" t="s">
        <v>36</v>
      </c>
      <c r="H774">
        <v>58.05</v>
      </c>
      <c r="I774">
        <v>17</v>
      </c>
      <c r="J774">
        <v>986.85</v>
      </c>
      <c r="K774" t="str">
        <f t="shared" si="60"/>
        <v>Mar</v>
      </c>
      <c r="L774" t="str">
        <f t="shared" si="61"/>
        <v>Low</v>
      </c>
      <c r="M774" t="str">
        <f t="shared" si="62"/>
        <v>Average</v>
      </c>
      <c r="N774">
        <f t="shared" si="64"/>
        <v>-1175.3499999999999</v>
      </c>
      <c r="O774" s="6">
        <v>0.1</v>
      </c>
      <c r="P774">
        <f t="shared" si="63"/>
        <v>888.16500000000008</v>
      </c>
    </row>
    <row r="775" spans="1:16" x14ac:dyDescent="0.25">
      <c r="A775" t="s">
        <v>811</v>
      </c>
      <c r="B775" s="1">
        <v>45942</v>
      </c>
      <c r="C775" t="s">
        <v>30</v>
      </c>
      <c r="D775" t="s">
        <v>26</v>
      </c>
      <c r="E775" t="s">
        <v>18</v>
      </c>
      <c r="F775" t="s">
        <v>39</v>
      </c>
      <c r="G775" t="s">
        <v>36</v>
      </c>
      <c r="H775">
        <v>117.4</v>
      </c>
      <c r="I775">
        <v>9</v>
      </c>
      <c r="J775">
        <v>1056.5999999999999</v>
      </c>
      <c r="K775" t="str">
        <f t="shared" si="60"/>
        <v>Oct</v>
      </c>
      <c r="L775" t="str">
        <f t="shared" si="61"/>
        <v>Low</v>
      </c>
      <c r="M775" t="str">
        <f t="shared" si="62"/>
        <v>Average</v>
      </c>
      <c r="N775">
        <f t="shared" si="64"/>
        <v>69.749999999999886</v>
      </c>
      <c r="O775" s="6">
        <v>0.1</v>
      </c>
      <c r="P775">
        <f t="shared" si="63"/>
        <v>950.93999999999994</v>
      </c>
    </row>
    <row r="776" spans="1:16" x14ac:dyDescent="0.25">
      <c r="A776" t="s">
        <v>812</v>
      </c>
      <c r="B776" s="1">
        <v>45660</v>
      </c>
      <c r="C776" t="s">
        <v>38</v>
      </c>
      <c r="D776" t="s">
        <v>12</v>
      </c>
      <c r="E776" t="s">
        <v>23</v>
      </c>
      <c r="F776" t="s">
        <v>19</v>
      </c>
      <c r="G776" t="s">
        <v>15</v>
      </c>
      <c r="H776">
        <v>205.4</v>
      </c>
      <c r="I776">
        <v>11</v>
      </c>
      <c r="J776">
        <v>2259.4</v>
      </c>
      <c r="K776" t="str">
        <f t="shared" si="60"/>
        <v>Jan</v>
      </c>
      <c r="L776" t="str">
        <f t="shared" si="61"/>
        <v>High</v>
      </c>
      <c r="M776" t="str">
        <f t="shared" si="62"/>
        <v>Good</v>
      </c>
      <c r="N776">
        <f t="shared" si="64"/>
        <v>1202.8000000000002</v>
      </c>
      <c r="O776" s="6">
        <v>0.1</v>
      </c>
      <c r="P776">
        <f t="shared" si="63"/>
        <v>2033.46</v>
      </c>
    </row>
    <row r="777" spans="1:16" x14ac:dyDescent="0.25">
      <c r="A777" t="s">
        <v>813</v>
      </c>
      <c r="B777" s="1">
        <v>45823</v>
      </c>
      <c r="C777" t="s">
        <v>11</v>
      </c>
      <c r="D777" t="s">
        <v>12</v>
      </c>
      <c r="E777" t="s">
        <v>18</v>
      </c>
      <c r="F777" t="s">
        <v>39</v>
      </c>
      <c r="G777" t="s">
        <v>20</v>
      </c>
      <c r="H777">
        <v>62.98</v>
      </c>
      <c r="I777">
        <v>20</v>
      </c>
      <c r="J777">
        <v>1259.5999999999999</v>
      </c>
      <c r="K777" t="str">
        <f t="shared" si="60"/>
        <v>Jun</v>
      </c>
      <c r="L777" t="str">
        <f t="shared" si="61"/>
        <v>Low</v>
      </c>
      <c r="M777" t="str">
        <f t="shared" si="62"/>
        <v>Average</v>
      </c>
      <c r="N777">
        <f t="shared" si="64"/>
        <v>-999.80000000000018</v>
      </c>
      <c r="O777" s="6">
        <v>0.1</v>
      </c>
      <c r="P777">
        <f t="shared" si="63"/>
        <v>1133.6399999999999</v>
      </c>
    </row>
    <row r="778" spans="1:16" x14ac:dyDescent="0.25">
      <c r="A778" t="s">
        <v>814</v>
      </c>
      <c r="B778" s="1">
        <v>45812</v>
      </c>
      <c r="C778" t="s">
        <v>25</v>
      </c>
      <c r="D778" t="s">
        <v>55</v>
      </c>
      <c r="E778" t="s">
        <v>13</v>
      </c>
      <c r="F778" t="s">
        <v>19</v>
      </c>
      <c r="G778" t="s">
        <v>20</v>
      </c>
      <c r="H778">
        <v>80.44</v>
      </c>
      <c r="I778">
        <v>16</v>
      </c>
      <c r="J778">
        <v>1287.04</v>
      </c>
      <c r="K778" t="str">
        <f t="shared" si="60"/>
        <v>Jun</v>
      </c>
      <c r="L778" t="str">
        <f t="shared" si="61"/>
        <v>Low</v>
      </c>
      <c r="M778" t="str">
        <f t="shared" si="62"/>
        <v>Average</v>
      </c>
      <c r="N778">
        <f t="shared" si="64"/>
        <v>27.440000000000055</v>
      </c>
      <c r="O778" s="6">
        <v>0.1</v>
      </c>
      <c r="P778">
        <f t="shared" si="63"/>
        <v>1158.336</v>
      </c>
    </row>
    <row r="779" spans="1:16" x14ac:dyDescent="0.25">
      <c r="A779" t="s">
        <v>815</v>
      </c>
      <c r="B779" s="1">
        <v>45820</v>
      </c>
      <c r="C779" t="s">
        <v>30</v>
      </c>
      <c r="D779" t="s">
        <v>26</v>
      </c>
      <c r="E779" t="s">
        <v>18</v>
      </c>
      <c r="F779" t="s">
        <v>19</v>
      </c>
      <c r="G779" t="s">
        <v>20</v>
      </c>
      <c r="H779">
        <v>188.9</v>
      </c>
      <c r="I779">
        <v>17</v>
      </c>
      <c r="J779">
        <v>3211.3</v>
      </c>
      <c r="K779" t="str">
        <f t="shared" si="60"/>
        <v>Jun</v>
      </c>
      <c r="L779" t="str">
        <f t="shared" si="61"/>
        <v>High</v>
      </c>
      <c r="M779" t="str">
        <f t="shared" si="62"/>
        <v>Excellent</v>
      </c>
      <c r="N779">
        <f t="shared" si="64"/>
        <v>1924.2600000000002</v>
      </c>
      <c r="O779" s="6">
        <v>0.1</v>
      </c>
      <c r="P779">
        <f t="shared" si="63"/>
        <v>2890.17</v>
      </c>
    </row>
    <row r="780" spans="1:16" x14ac:dyDescent="0.25">
      <c r="A780" t="s">
        <v>816</v>
      </c>
      <c r="B780" s="1">
        <v>45739</v>
      </c>
      <c r="C780" t="s">
        <v>25</v>
      </c>
      <c r="D780" t="s">
        <v>55</v>
      </c>
      <c r="E780" t="s">
        <v>41</v>
      </c>
      <c r="F780" t="s">
        <v>19</v>
      </c>
      <c r="G780" t="s">
        <v>36</v>
      </c>
      <c r="H780">
        <v>188.41</v>
      </c>
      <c r="I780">
        <v>14</v>
      </c>
      <c r="J780">
        <v>2637.74</v>
      </c>
      <c r="K780" t="str">
        <f t="shared" si="60"/>
        <v>Mar</v>
      </c>
      <c r="L780" t="str">
        <f t="shared" si="61"/>
        <v>High</v>
      </c>
      <c r="M780" t="str">
        <f t="shared" si="62"/>
        <v>Good</v>
      </c>
      <c r="N780">
        <f t="shared" si="64"/>
        <v>-573.5600000000004</v>
      </c>
      <c r="O780" s="6">
        <v>0.1</v>
      </c>
      <c r="P780">
        <f t="shared" si="63"/>
        <v>2373.9659999999999</v>
      </c>
    </row>
    <row r="781" spans="1:16" x14ac:dyDescent="0.25">
      <c r="A781" t="s">
        <v>817</v>
      </c>
      <c r="B781" s="1">
        <v>45771</v>
      </c>
      <c r="C781" t="s">
        <v>17</v>
      </c>
      <c r="D781" t="s">
        <v>35</v>
      </c>
      <c r="E781" t="s">
        <v>13</v>
      </c>
      <c r="F781" t="s">
        <v>32</v>
      </c>
      <c r="G781" t="s">
        <v>36</v>
      </c>
      <c r="H781">
        <v>171.05</v>
      </c>
      <c r="I781">
        <v>7</v>
      </c>
      <c r="J781">
        <v>1197.3499999999999</v>
      </c>
      <c r="K781" t="str">
        <f t="shared" si="60"/>
        <v>Apr</v>
      </c>
      <c r="L781" t="str">
        <f t="shared" si="61"/>
        <v>Low</v>
      </c>
      <c r="M781" t="str">
        <f t="shared" si="62"/>
        <v>Average</v>
      </c>
      <c r="N781">
        <f t="shared" si="64"/>
        <v>-1440.3899999999999</v>
      </c>
      <c r="O781" s="6">
        <v>0.1</v>
      </c>
      <c r="P781">
        <f t="shared" si="63"/>
        <v>1077.615</v>
      </c>
    </row>
    <row r="782" spans="1:16" x14ac:dyDescent="0.25">
      <c r="A782" t="s">
        <v>818</v>
      </c>
      <c r="B782" s="1">
        <v>45769</v>
      </c>
      <c r="C782" t="s">
        <v>25</v>
      </c>
      <c r="D782" t="s">
        <v>31</v>
      </c>
      <c r="E782" t="s">
        <v>18</v>
      </c>
      <c r="F782" t="s">
        <v>39</v>
      </c>
      <c r="G782" t="s">
        <v>20</v>
      </c>
      <c r="H782">
        <v>182.67</v>
      </c>
      <c r="I782">
        <v>20</v>
      </c>
      <c r="J782">
        <v>3653.4</v>
      </c>
      <c r="K782" t="str">
        <f t="shared" si="60"/>
        <v>Apr</v>
      </c>
      <c r="L782" t="str">
        <f t="shared" si="61"/>
        <v>High</v>
      </c>
      <c r="M782" t="str">
        <f t="shared" si="62"/>
        <v>Excellent</v>
      </c>
      <c r="N782">
        <f t="shared" si="64"/>
        <v>2456.0500000000002</v>
      </c>
      <c r="O782" s="6">
        <v>0.1</v>
      </c>
      <c r="P782">
        <f t="shared" si="63"/>
        <v>3288.06</v>
      </c>
    </row>
    <row r="783" spans="1:16" x14ac:dyDescent="0.25">
      <c r="A783" t="s">
        <v>819</v>
      </c>
      <c r="B783" s="1">
        <v>45662</v>
      </c>
      <c r="C783" t="s">
        <v>17</v>
      </c>
      <c r="D783" t="s">
        <v>35</v>
      </c>
      <c r="E783" t="s">
        <v>41</v>
      </c>
      <c r="F783" t="s">
        <v>14</v>
      </c>
      <c r="G783" t="s">
        <v>20</v>
      </c>
      <c r="H783">
        <v>149.4</v>
      </c>
      <c r="I783">
        <v>4</v>
      </c>
      <c r="J783">
        <v>597.6</v>
      </c>
      <c r="K783" t="str">
        <f t="shared" si="60"/>
        <v>Jan</v>
      </c>
      <c r="L783" t="str">
        <f t="shared" si="61"/>
        <v>Low</v>
      </c>
      <c r="M783" t="str">
        <f t="shared" si="62"/>
        <v>Average</v>
      </c>
      <c r="N783">
        <f t="shared" si="64"/>
        <v>-3055.8</v>
      </c>
      <c r="O783" s="6">
        <v>0.1</v>
      </c>
      <c r="P783">
        <f t="shared" si="63"/>
        <v>537.84</v>
      </c>
    </row>
    <row r="784" spans="1:16" x14ac:dyDescent="0.25">
      <c r="A784" t="s">
        <v>820</v>
      </c>
      <c r="B784" s="1">
        <v>45972</v>
      </c>
      <c r="C784" t="s">
        <v>30</v>
      </c>
      <c r="D784" t="s">
        <v>22</v>
      </c>
      <c r="E784" t="s">
        <v>27</v>
      </c>
      <c r="F784" t="s">
        <v>32</v>
      </c>
      <c r="G784" t="s">
        <v>36</v>
      </c>
      <c r="H784">
        <v>85.4</v>
      </c>
      <c r="I784">
        <v>20</v>
      </c>
      <c r="J784">
        <v>1708</v>
      </c>
      <c r="K784" t="str">
        <f t="shared" si="60"/>
        <v>Nov</v>
      </c>
      <c r="L784" t="str">
        <f t="shared" si="61"/>
        <v>Low</v>
      </c>
      <c r="M784" t="str">
        <f t="shared" si="62"/>
        <v>Good</v>
      </c>
      <c r="N784">
        <f t="shared" si="64"/>
        <v>1110.4000000000001</v>
      </c>
      <c r="O784" s="6">
        <v>0.1</v>
      </c>
      <c r="P784">
        <f t="shared" si="63"/>
        <v>1537.2</v>
      </c>
    </row>
    <row r="785" spans="1:16" x14ac:dyDescent="0.25">
      <c r="A785" t="s">
        <v>821</v>
      </c>
      <c r="B785" s="1">
        <v>45716</v>
      </c>
      <c r="C785" t="s">
        <v>34</v>
      </c>
      <c r="D785" t="s">
        <v>55</v>
      </c>
      <c r="E785" t="s">
        <v>27</v>
      </c>
      <c r="F785" t="s">
        <v>32</v>
      </c>
      <c r="G785" t="s">
        <v>15</v>
      </c>
      <c r="H785">
        <v>106.05</v>
      </c>
      <c r="I785">
        <v>13</v>
      </c>
      <c r="J785">
        <v>1378.65</v>
      </c>
      <c r="K785" t="str">
        <f t="shared" si="60"/>
        <v>Feb</v>
      </c>
      <c r="L785" t="str">
        <f t="shared" si="61"/>
        <v>Low</v>
      </c>
      <c r="M785" t="str">
        <f t="shared" si="62"/>
        <v>Average</v>
      </c>
      <c r="N785">
        <f t="shared" si="64"/>
        <v>-329.34999999999991</v>
      </c>
      <c r="O785" s="6">
        <v>0.1</v>
      </c>
      <c r="P785">
        <f t="shared" si="63"/>
        <v>1240.7850000000001</v>
      </c>
    </row>
    <row r="786" spans="1:16" x14ac:dyDescent="0.25">
      <c r="A786" t="s">
        <v>822</v>
      </c>
      <c r="B786" s="1">
        <v>45922</v>
      </c>
      <c r="C786" t="s">
        <v>25</v>
      </c>
      <c r="D786" t="s">
        <v>55</v>
      </c>
      <c r="E786" t="s">
        <v>41</v>
      </c>
      <c r="F786" t="s">
        <v>61</v>
      </c>
      <c r="G786" t="s">
        <v>15</v>
      </c>
      <c r="H786">
        <v>69.95</v>
      </c>
      <c r="I786">
        <v>12</v>
      </c>
      <c r="J786">
        <v>839.4</v>
      </c>
      <c r="K786" t="str">
        <f t="shared" si="60"/>
        <v>Sep</v>
      </c>
      <c r="L786" t="str">
        <f t="shared" si="61"/>
        <v>Low</v>
      </c>
      <c r="M786" t="str">
        <f t="shared" si="62"/>
        <v>Average</v>
      </c>
      <c r="N786">
        <f t="shared" si="64"/>
        <v>-539.25000000000011</v>
      </c>
      <c r="O786" s="6">
        <v>0.1</v>
      </c>
      <c r="P786">
        <f t="shared" si="63"/>
        <v>755.46</v>
      </c>
    </row>
    <row r="787" spans="1:16" x14ac:dyDescent="0.25">
      <c r="A787" t="s">
        <v>823</v>
      </c>
      <c r="B787" s="1">
        <v>45809</v>
      </c>
      <c r="C787" t="s">
        <v>34</v>
      </c>
      <c r="D787" t="s">
        <v>55</v>
      </c>
      <c r="E787" t="s">
        <v>45</v>
      </c>
      <c r="F787" t="s">
        <v>19</v>
      </c>
      <c r="G787" t="s">
        <v>15</v>
      </c>
      <c r="H787">
        <v>229.86</v>
      </c>
      <c r="I787">
        <v>7</v>
      </c>
      <c r="J787">
        <v>1609.02</v>
      </c>
      <c r="K787" t="str">
        <f t="shared" si="60"/>
        <v>Jun</v>
      </c>
      <c r="L787" t="str">
        <f t="shared" si="61"/>
        <v>Low</v>
      </c>
      <c r="M787" t="str">
        <f t="shared" si="62"/>
        <v>Good</v>
      </c>
      <c r="N787">
        <f t="shared" si="64"/>
        <v>769.62</v>
      </c>
      <c r="O787" s="6">
        <v>0.1</v>
      </c>
      <c r="P787">
        <f t="shared" si="63"/>
        <v>1448.1179999999999</v>
      </c>
    </row>
    <row r="788" spans="1:16" x14ac:dyDescent="0.25">
      <c r="A788" t="s">
        <v>824</v>
      </c>
      <c r="B788" s="1">
        <v>45933</v>
      </c>
      <c r="C788" t="s">
        <v>11</v>
      </c>
      <c r="D788" t="s">
        <v>12</v>
      </c>
      <c r="E788" t="s">
        <v>45</v>
      </c>
      <c r="F788" t="s">
        <v>14</v>
      </c>
      <c r="G788" t="s">
        <v>20</v>
      </c>
      <c r="H788">
        <v>158.35</v>
      </c>
      <c r="I788">
        <v>18</v>
      </c>
      <c r="J788">
        <v>2850.3</v>
      </c>
      <c r="K788" t="str">
        <f t="shared" si="60"/>
        <v>Oct</v>
      </c>
      <c r="L788" t="str">
        <f t="shared" si="61"/>
        <v>High</v>
      </c>
      <c r="M788" t="str">
        <f t="shared" si="62"/>
        <v>Good</v>
      </c>
      <c r="N788">
        <f t="shared" si="64"/>
        <v>1241.2800000000002</v>
      </c>
      <c r="O788" s="6">
        <v>0.1</v>
      </c>
      <c r="P788">
        <f t="shared" si="63"/>
        <v>2565.2700000000004</v>
      </c>
    </row>
    <row r="789" spans="1:16" x14ac:dyDescent="0.25">
      <c r="A789" t="s">
        <v>825</v>
      </c>
      <c r="B789" s="1">
        <v>45980</v>
      </c>
      <c r="C789" t="s">
        <v>17</v>
      </c>
      <c r="D789" t="s">
        <v>31</v>
      </c>
      <c r="E789" t="s">
        <v>45</v>
      </c>
      <c r="F789" t="s">
        <v>14</v>
      </c>
      <c r="G789" t="s">
        <v>20</v>
      </c>
      <c r="H789">
        <v>118.19</v>
      </c>
      <c r="I789">
        <v>7</v>
      </c>
      <c r="J789">
        <v>827.33</v>
      </c>
      <c r="K789" t="str">
        <f t="shared" si="60"/>
        <v>Nov</v>
      </c>
      <c r="L789" t="str">
        <f t="shared" si="61"/>
        <v>Low</v>
      </c>
      <c r="M789" t="str">
        <f t="shared" si="62"/>
        <v>Average</v>
      </c>
      <c r="N789">
        <f t="shared" si="64"/>
        <v>-2022.9700000000003</v>
      </c>
      <c r="O789" s="6">
        <v>0.1</v>
      </c>
      <c r="P789">
        <f t="shared" si="63"/>
        <v>744.59700000000009</v>
      </c>
    </row>
    <row r="790" spans="1:16" x14ac:dyDescent="0.25">
      <c r="A790" t="s">
        <v>826</v>
      </c>
      <c r="B790" s="1">
        <v>46017</v>
      </c>
      <c r="C790" t="s">
        <v>17</v>
      </c>
      <c r="D790" t="s">
        <v>22</v>
      </c>
      <c r="E790" t="s">
        <v>27</v>
      </c>
      <c r="F790" t="s">
        <v>28</v>
      </c>
      <c r="G790" t="s">
        <v>15</v>
      </c>
      <c r="H790">
        <v>131.63999999999999</v>
      </c>
      <c r="I790">
        <v>14</v>
      </c>
      <c r="J790">
        <v>1842.96</v>
      </c>
      <c r="K790" t="str">
        <f t="shared" si="60"/>
        <v>Dec</v>
      </c>
      <c r="L790" t="str">
        <f t="shared" si="61"/>
        <v>Low</v>
      </c>
      <c r="M790" t="str">
        <f t="shared" si="62"/>
        <v>Good</v>
      </c>
      <c r="N790">
        <f t="shared" si="64"/>
        <v>1015.63</v>
      </c>
      <c r="O790" s="6">
        <v>0.1</v>
      </c>
      <c r="P790">
        <f t="shared" si="63"/>
        <v>1658.664</v>
      </c>
    </row>
    <row r="791" spans="1:16" x14ac:dyDescent="0.25">
      <c r="A791" t="s">
        <v>827</v>
      </c>
      <c r="B791" s="1">
        <v>45670</v>
      </c>
      <c r="C791" t="s">
        <v>17</v>
      </c>
      <c r="D791" t="s">
        <v>35</v>
      </c>
      <c r="E791" t="s">
        <v>45</v>
      </c>
      <c r="F791" t="s">
        <v>19</v>
      </c>
      <c r="G791" t="s">
        <v>15</v>
      </c>
      <c r="H791">
        <v>238.4</v>
      </c>
      <c r="I791">
        <v>15</v>
      </c>
      <c r="J791">
        <v>3576</v>
      </c>
      <c r="K791" t="str">
        <f t="shared" si="60"/>
        <v>Jan</v>
      </c>
      <c r="L791" t="str">
        <f t="shared" si="61"/>
        <v>High</v>
      </c>
      <c r="M791" t="str">
        <f t="shared" si="62"/>
        <v>Excellent</v>
      </c>
      <c r="N791">
        <f t="shared" si="64"/>
        <v>1733.04</v>
      </c>
      <c r="O791" s="6">
        <v>0.1</v>
      </c>
      <c r="P791">
        <f t="shared" si="63"/>
        <v>3218.4</v>
      </c>
    </row>
    <row r="792" spans="1:16" x14ac:dyDescent="0.25">
      <c r="A792" t="s">
        <v>828</v>
      </c>
      <c r="B792" s="1">
        <v>45685</v>
      </c>
      <c r="C792" t="s">
        <v>34</v>
      </c>
      <c r="D792" t="s">
        <v>55</v>
      </c>
      <c r="E792" t="s">
        <v>45</v>
      </c>
      <c r="F792" t="s">
        <v>42</v>
      </c>
      <c r="G792" t="s">
        <v>15</v>
      </c>
      <c r="H792">
        <v>63.74</v>
      </c>
      <c r="I792">
        <v>6</v>
      </c>
      <c r="J792">
        <v>382.44</v>
      </c>
      <c r="K792" t="str">
        <f t="shared" si="60"/>
        <v>Jan</v>
      </c>
      <c r="L792" t="str">
        <f t="shared" si="61"/>
        <v>Low</v>
      </c>
      <c r="M792" t="str">
        <f t="shared" si="62"/>
        <v>Low</v>
      </c>
      <c r="N792">
        <f t="shared" si="64"/>
        <v>-3193.56</v>
      </c>
      <c r="O792" s="6">
        <v>0.1</v>
      </c>
      <c r="P792">
        <f t="shared" si="63"/>
        <v>344.19600000000003</v>
      </c>
    </row>
    <row r="793" spans="1:16" x14ac:dyDescent="0.25">
      <c r="A793" t="s">
        <v>829</v>
      </c>
      <c r="B793" s="1">
        <v>45790</v>
      </c>
      <c r="C793" t="s">
        <v>38</v>
      </c>
      <c r="D793" t="s">
        <v>31</v>
      </c>
      <c r="E793" t="s">
        <v>27</v>
      </c>
      <c r="F793" t="s">
        <v>61</v>
      </c>
      <c r="G793" t="s">
        <v>36</v>
      </c>
      <c r="H793">
        <v>158.97</v>
      </c>
      <c r="I793">
        <v>14</v>
      </c>
      <c r="J793">
        <v>2225.58</v>
      </c>
      <c r="K793" t="str">
        <f t="shared" si="60"/>
        <v>May</v>
      </c>
      <c r="L793" t="str">
        <f t="shared" si="61"/>
        <v>High</v>
      </c>
      <c r="M793" t="str">
        <f t="shared" si="62"/>
        <v>Good</v>
      </c>
      <c r="N793">
        <f t="shared" si="64"/>
        <v>1843.1399999999999</v>
      </c>
      <c r="O793" s="6">
        <v>0.1</v>
      </c>
      <c r="P793">
        <f t="shared" si="63"/>
        <v>2003.0219999999999</v>
      </c>
    </row>
    <row r="794" spans="1:16" x14ac:dyDescent="0.25">
      <c r="A794" t="s">
        <v>830</v>
      </c>
      <c r="B794" s="1">
        <v>45819</v>
      </c>
      <c r="C794" t="s">
        <v>38</v>
      </c>
      <c r="D794" t="s">
        <v>12</v>
      </c>
      <c r="E794" t="s">
        <v>45</v>
      </c>
      <c r="F794" t="s">
        <v>42</v>
      </c>
      <c r="G794" t="s">
        <v>15</v>
      </c>
      <c r="H794">
        <v>141.30000000000001</v>
      </c>
      <c r="I794">
        <v>1</v>
      </c>
      <c r="J794">
        <v>141.30000000000001</v>
      </c>
      <c r="K794" t="str">
        <f t="shared" si="60"/>
        <v>Jun</v>
      </c>
      <c r="L794" t="str">
        <f t="shared" si="61"/>
        <v>Low</v>
      </c>
      <c r="M794" t="str">
        <f t="shared" si="62"/>
        <v>Low</v>
      </c>
      <c r="N794">
        <f t="shared" si="64"/>
        <v>-2084.2799999999997</v>
      </c>
      <c r="O794" s="6">
        <v>0.1</v>
      </c>
      <c r="P794">
        <f t="shared" si="63"/>
        <v>127.17000000000002</v>
      </c>
    </row>
    <row r="795" spans="1:16" x14ac:dyDescent="0.25">
      <c r="A795" t="s">
        <v>831</v>
      </c>
      <c r="B795" s="1">
        <v>45986</v>
      </c>
      <c r="C795" t="s">
        <v>11</v>
      </c>
      <c r="D795" t="s">
        <v>12</v>
      </c>
      <c r="E795" t="s">
        <v>18</v>
      </c>
      <c r="F795" t="s">
        <v>19</v>
      </c>
      <c r="G795" t="s">
        <v>20</v>
      </c>
      <c r="H795">
        <v>164.52</v>
      </c>
      <c r="I795">
        <v>20</v>
      </c>
      <c r="J795">
        <v>3290.4</v>
      </c>
      <c r="K795" t="str">
        <f t="shared" si="60"/>
        <v>Nov</v>
      </c>
      <c r="L795" t="str">
        <f t="shared" si="61"/>
        <v>High</v>
      </c>
      <c r="M795" t="str">
        <f t="shared" si="62"/>
        <v>Excellent</v>
      </c>
      <c r="N795">
        <f t="shared" si="64"/>
        <v>3149.1</v>
      </c>
      <c r="O795" s="6">
        <v>0.1</v>
      </c>
      <c r="P795">
        <f t="shared" si="63"/>
        <v>2961.36</v>
      </c>
    </row>
    <row r="796" spans="1:16" x14ac:dyDescent="0.25">
      <c r="A796" t="s">
        <v>832</v>
      </c>
      <c r="B796" s="1">
        <v>45695</v>
      </c>
      <c r="C796" t="s">
        <v>25</v>
      </c>
      <c r="D796" t="s">
        <v>22</v>
      </c>
      <c r="E796" t="s">
        <v>13</v>
      </c>
      <c r="F796" t="s">
        <v>39</v>
      </c>
      <c r="G796" t="s">
        <v>20</v>
      </c>
      <c r="H796">
        <v>33.979999999999997</v>
      </c>
      <c r="I796">
        <v>12</v>
      </c>
      <c r="J796">
        <v>407.76</v>
      </c>
      <c r="K796" t="str">
        <f t="shared" si="60"/>
        <v>Feb</v>
      </c>
      <c r="L796" t="str">
        <f t="shared" si="61"/>
        <v>Low</v>
      </c>
      <c r="M796" t="str">
        <f t="shared" si="62"/>
        <v>Low</v>
      </c>
      <c r="N796">
        <f t="shared" si="64"/>
        <v>-2882.6400000000003</v>
      </c>
      <c r="O796" s="6">
        <v>0.1</v>
      </c>
      <c r="P796">
        <f t="shared" si="63"/>
        <v>366.98399999999998</v>
      </c>
    </row>
    <row r="797" spans="1:16" x14ac:dyDescent="0.25">
      <c r="A797" t="s">
        <v>833</v>
      </c>
      <c r="B797" s="1">
        <v>45812</v>
      </c>
      <c r="C797" t="s">
        <v>11</v>
      </c>
      <c r="D797" t="s">
        <v>35</v>
      </c>
      <c r="E797" t="s">
        <v>41</v>
      </c>
      <c r="F797" t="s">
        <v>61</v>
      </c>
      <c r="G797" t="s">
        <v>36</v>
      </c>
      <c r="H797">
        <v>221.87</v>
      </c>
      <c r="I797">
        <v>20</v>
      </c>
      <c r="J797">
        <v>4437.3999999999996</v>
      </c>
      <c r="K797" t="str">
        <f t="shared" si="60"/>
        <v>Jun</v>
      </c>
      <c r="L797" t="str">
        <f t="shared" si="61"/>
        <v>High</v>
      </c>
      <c r="M797" t="str">
        <f t="shared" si="62"/>
        <v>Excellent</v>
      </c>
      <c r="N797">
        <f t="shared" si="64"/>
        <v>4029.6399999999994</v>
      </c>
      <c r="O797" s="6">
        <v>0.1</v>
      </c>
      <c r="P797">
        <f t="shared" si="63"/>
        <v>3993.66</v>
      </c>
    </row>
    <row r="798" spans="1:16" x14ac:dyDescent="0.25">
      <c r="A798" t="s">
        <v>834</v>
      </c>
      <c r="B798" s="1">
        <v>45996</v>
      </c>
      <c r="C798" t="s">
        <v>38</v>
      </c>
      <c r="D798" t="s">
        <v>26</v>
      </c>
      <c r="E798" t="s">
        <v>18</v>
      </c>
      <c r="F798" t="s">
        <v>14</v>
      </c>
      <c r="G798" t="s">
        <v>15</v>
      </c>
      <c r="H798">
        <v>235.07</v>
      </c>
      <c r="I798">
        <v>1</v>
      </c>
      <c r="J798">
        <v>235.07</v>
      </c>
      <c r="K798" t="str">
        <f t="shared" si="60"/>
        <v>Dec</v>
      </c>
      <c r="L798" t="str">
        <f t="shared" si="61"/>
        <v>Low</v>
      </c>
      <c r="M798" t="str">
        <f t="shared" si="62"/>
        <v>Low</v>
      </c>
      <c r="N798">
        <f t="shared" si="64"/>
        <v>-4202.33</v>
      </c>
      <c r="O798" s="6">
        <v>0.1</v>
      </c>
      <c r="P798">
        <f t="shared" si="63"/>
        <v>211.56299999999999</v>
      </c>
    </row>
    <row r="799" spans="1:16" x14ac:dyDescent="0.25">
      <c r="A799" t="s">
        <v>835</v>
      </c>
      <c r="B799" s="1">
        <v>45858</v>
      </c>
      <c r="C799" t="s">
        <v>34</v>
      </c>
      <c r="D799" t="s">
        <v>12</v>
      </c>
      <c r="E799" t="s">
        <v>23</v>
      </c>
      <c r="F799" t="s">
        <v>32</v>
      </c>
      <c r="G799" t="s">
        <v>20</v>
      </c>
      <c r="H799">
        <v>154.33000000000001</v>
      </c>
      <c r="I799">
        <v>18</v>
      </c>
      <c r="J799">
        <v>2777.94</v>
      </c>
      <c r="K799" t="str">
        <f t="shared" si="60"/>
        <v>Jul</v>
      </c>
      <c r="L799" t="str">
        <f t="shared" si="61"/>
        <v>High</v>
      </c>
      <c r="M799" t="str">
        <f t="shared" si="62"/>
        <v>Good</v>
      </c>
      <c r="N799">
        <f t="shared" si="64"/>
        <v>2542.87</v>
      </c>
      <c r="O799" s="6">
        <v>0.1</v>
      </c>
      <c r="P799">
        <f t="shared" si="63"/>
        <v>2500.1460000000002</v>
      </c>
    </row>
    <row r="800" spans="1:16" x14ac:dyDescent="0.25">
      <c r="A800" t="s">
        <v>836</v>
      </c>
      <c r="B800" s="1">
        <v>45989</v>
      </c>
      <c r="C800" t="s">
        <v>11</v>
      </c>
      <c r="D800" t="s">
        <v>55</v>
      </c>
      <c r="E800" t="s">
        <v>18</v>
      </c>
      <c r="F800" t="s">
        <v>14</v>
      </c>
      <c r="G800" t="s">
        <v>15</v>
      </c>
      <c r="H800">
        <v>183.26</v>
      </c>
      <c r="I800">
        <v>12</v>
      </c>
      <c r="J800">
        <v>2199.12</v>
      </c>
      <c r="K800" t="str">
        <f t="shared" si="60"/>
        <v>Nov</v>
      </c>
      <c r="L800" t="str">
        <f t="shared" si="61"/>
        <v>High</v>
      </c>
      <c r="M800" t="str">
        <f t="shared" si="62"/>
        <v>Good</v>
      </c>
      <c r="N800">
        <f t="shared" si="64"/>
        <v>-578.82000000000016</v>
      </c>
      <c r="O800" s="6">
        <v>0.1</v>
      </c>
      <c r="P800">
        <f t="shared" si="63"/>
        <v>1979.2079999999999</v>
      </c>
    </row>
    <row r="801" spans="1:16" x14ac:dyDescent="0.25">
      <c r="A801" t="s">
        <v>837</v>
      </c>
      <c r="B801" s="1">
        <v>45679</v>
      </c>
      <c r="C801" t="s">
        <v>25</v>
      </c>
      <c r="D801" t="s">
        <v>55</v>
      </c>
      <c r="E801" t="s">
        <v>41</v>
      </c>
      <c r="F801" t="s">
        <v>42</v>
      </c>
      <c r="G801" t="s">
        <v>20</v>
      </c>
      <c r="H801">
        <v>232.95</v>
      </c>
      <c r="I801">
        <v>1</v>
      </c>
      <c r="J801">
        <v>232.95</v>
      </c>
      <c r="K801" t="str">
        <f t="shared" si="60"/>
        <v>Jan</v>
      </c>
      <c r="L801" t="str">
        <f t="shared" si="61"/>
        <v>Low</v>
      </c>
      <c r="M801" t="str">
        <f t="shared" si="62"/>
        <v>Low</v>
      </c>
      <c r="N801">
        <f t="shared" si="64"/>
        <v>-1966.1699999999998</v>
      </c>
      <c r="O801" s="6">
        <v>0.1</v>
      </c>
      <c r="P801">
        <f t="shared" si="63"/>
        <v>209.655</v>
      </c>
    </row>
    <row r="802" spans="1:16" x14ac:dyDescent="0.25">
      <c r="A802" t="s">
        <v>838</v>
      </c>
      <c r="B802" s="1">
        <v>45701</v>
      </c>
      <c r="C802" t="s">
        <v>30</v>
      </c>
      <c r="D802" t="s">
        <v>12</v>
      </c>
      <c r="E802" t="s">
        <v>27</v>
      </c>
      <c r="F802" t="s">
        <v>28</v>
      </c>
      <c r="G802" t="s">
        <v>36</v>
      </c>
      <c r="H802">
        <v>185.59</v>
      </c>
      <c r="I802">
        <v>10</v>
      </c>
      <c r="J802">
        <v>1855.9</v>
      </c>
      <c r="K802" t="str">
        <f t="shared" si="60"/>
        <v>Feb</v>
      </c>
      <c r="L802" t="str">
        <f t="shared" si="61"/>
        <v>Low</v>
      </c>
      <c r="M802" t="str">
        <f t="shared" si="62"/>
        <v>Good</v>
      </c>
      <c r="N802">
        <f t="shared" si="64"/>
        <v>1622.95</v>
      </c>
      <c r="O802" s="6">
        <v>0.1</v>
      </c>
      <c r="P802">
        <f t="shared" si="63"/>
        <v>1670.3100000000002</v>
      </c>
    </row>
    <row r="803" spans="1:16" x14ac:dyDescent="0.25">
      <c r="A803" t="s">
        <v>839</v>
      </c>
      <c r="B803" s="1">
        <v>45766</v>
      </c>
      <c r="C803" t="s">
        <v>17</v>
      </c>
      <c r="D803" t="s">
        <v>55</v>
      </c>
      <c r="E803" t="s">
        <v>23</v>
      </c>
      <c r="F803" t="s">
        <v>14</v>
      </c>
      <c r="G803" t="s">
        <v>15</v>
      </c>
      <c r="H803">
        <v>63.56</v>
      </c>
      <c r="I803">
        <v>14</v>
      </c>
      <c r="J803">
        <v>889.84</v>
      </c>
      <c r="K803" t="str">
        <f t="shared" si="60"/>
        <v>Apr</v>
      </c>
      <c r="L803" t="str">
        <f t="shared" si="61"/>
        <v>Low</v>
      </c>
      <c r="M803" t="str">
        <f t="shared" si="62"/>
        <v>Average</v>
      </c>
      <c r="N803">
        <f t="shared" si="64"/>
        <v>-966.06000000000006</v>
      </c>
      <c r="O803" s="6">
        <v>0.1</v>
      </c>
      <c r="P803">
        <f t="shared" si="63"/>
        <v>800.85599999999999</v>
      </c>
    </row>
    <row r="804" spans="1:16" x14ac:dyDescent="0.25">
      <c r="A804" t="s">
        <v>840</v>
      </c>
      <c r="B804" s="1">
        <v>45771</v>
      </c>
      <c r="C804" t="s">
        <v>34</v>
      </c>
      <c r="D804" t="s">
        <v>26</v>
      </c>
      <c r="E804" t="s">
        <v>45</v>
      </c>
      <c r="F804" t="s">
        <v>14</v>
      </c>
      <c r="G804" t="s">
        <v>20</v>
      </c>
      <c r="H804">
        <v>156.78</v>
      </c>
      <c r="I804">
        <v>20</v>
      </c>
      <c r="J804">
        <v>3135.6</v>
      </c>
      <c r="K804" t="str">
        <f t="shared" si="60"/>
        <v>Apr</v>
      </c>
      <c r="L804" t="str">
        <f t="shared" si="61"/>
        <v>High</v>
      </c>
      <c r="M804" t="str">
        <f t="shared" si="62"/>
        <v>Excellent</v>
      </c>
      <c r="N804">
        <f t="shared" si="64"/>
        <v>2245.7599999999998</v>
      </c>
      <c r="O804" s="6">
        <v>0.1</v>
      </c>
      <c r="P804">
        <f t="shared" si="63"/>
        <v>2822.04</v>
      </c>
    </row>
    <row r="805" spans="1:16" x14ac:dyDescent="0.25">
      <c r="A805" t="s">
        <v>841</v>
      </c>
      <c r="B805" s="1">
        <v>45948</v>
      </c>
      <c r="C805" t="s">
        <v>25</v>
      </c>
      <c r="D805" t="s">
        <v>31</v>
      </c>
      <c r="E805" t="s">
        <v>27</v>
      </c>
      <c r="F805" t="s">
        <v>42</v>
      </c>
      <c r="G805" t="s">
        <v>15</v>
      </c>
      <c r="H805">
        <v>163.47999999999999</v>
      </c>
      <c r="I805">
        <v>2</v>
      </c>
      <c r="J805">
        <v>326.95999999999998</v>
      </c>
      <c r="K805" t="str">
        <f t="shared" si="60"/>
        <v>Oct</v>
      </c>
      <c r="L805" t="str">
        <f t="shared" si="61"/>
        <v>Low</v>
      </c>
      <c r="M805" t="str">
        <f t="shared" si="62"/>
        <v>Low</v>
      </c>
      <c r="N805">
        <f t="shared" si="64"/>
        <v>-2808.64</v>
      </c>
      <c r="O805" s="6">
        <v>0.1</v>
      </c>
      <c r="P805">
        <f t="shared" si="63"/>
        <v>294.26400000000001</v>
      </c>
    </row>
    <row r="806" spans="1:16" x14ac:dyDescent="0.25">
      <c r="A806" t="s">
        <v>842</v>
      </c>
      <c r="B806" s="1">
        <v>45806</v>
      </c>
      <c r="C806" t="s">
        <v>34</v>
      </c>
      <c r="D806" t="s">
        <v>22</v>
      </c>
      <c r="E806" t="s">
        <v>23</v>
      </c>
      <c r="F806" t="s">
        <v>28</v>
      </c>
      <c r="G806" t="s">
        <v>20</v>
      </c>
      <c r="H806">
        <v>123.31</v>
      </c>
      <c r="I806">
        <v>3</v>
      </c>
      <c r="J806">
        <v>369.93</v>
      </c>
      <c r="K806" t="str">
        <f t="shared" si="60"/>
        <v>May</v>
      </c>
      <c r="L806" t="str">
        <f t="shared" si="61"/>
        <v>Low</v>
      </c>
      <c r="M806" t="str">
        <f t="shared" si="62"/>
        <v>Low</v>
      </c>
      <c r="N806">
        <f t="shared" si="64"/>
        <v>42.970000000000027</v>
      </c>
      <c r="O806" s="6">
        <v>0.1</v>
      </c>
      <c r="P806">
        <f t="shared" si="63"/>
        <v>332.93700000000001</v>
      </c>
    </row>
    <row r="807" spans="1:16" x14ac:dyDescent="0.25">
      <c r="A807" t="s">
        <v>843</v>
      </c>
      <c r="B807" s="1">
        <v>45907</v>
      </c>
      <c r="C807" t="s">
        <v>34</v>
      </c>
      <c r="D807" t="s">
        <v>26</v>
      </c>
      <c r="E807" t="s">
        <v>27</v>
      </c>
      <c r="F807" t="s">
        <v>28</v>
      </c>
      <c r="G807" t="s">
        <v>15</v>
      </c>
      <c r="H807">
        <v>192.02</v>
      </c>
      <c r="I807">
        <v>11</v>
      </c>
      <c r="J807">
        <v>2112.2199999999998</v>
      </c>
      <c r="K807" t="str">
        <f t="shared" si="60"/>
        <v>Sep</v>
      </c>
      <c r="L807" t="str">
        <f t="shared" si="61"/>
        <v>High</v>
      </c>
      <c r="M807" t="str">
        <f t="shared" si="62"/>
        <v>Good</v>
      </c>
      <c r="N807">
        <f t="shared" si="64"/>
        <v>1742.2899999999997</v>
      </c>
      <c r="O807" s="6">
        <v>0.1</v>
      </c>
      <c r="P807">
        <f t="shared" si="63"/>
        <v>1900.9979999999998</v>
      </c>
    </row>
    <row r="808" spans="1:16" x14ac:dyDescent="0.25">
      <c r="A808" t="s">
        <v>844</v>
      </c>
      <c r="B808" s="1">
        <v>45709</v>
      </c>
      <c r="C808" t="s">
        <v>25</v>
      </c>
      <c r="D808" t="s">
        <v>22</v>
      </c>
      <c r="E808" t="s">
        <v>23</v>
      </c>
      <c r="F808" t="s">
        <v>32</v>
      </c>
      <c r="G808" t="s">
        <v>36</v>
      </c>
      <c r="H808">
        <v>235.56</v>
      </c>
      <c r="I808">
        <v>10</v>
      </c>
      <c r="J808">
        <v>2355.6</v>
      </c>
      <c r="K808" t="str">
        <f t="shared" si="60"/>
        <v>Feb</v>
      </c>
      <c r="L808" t="str">
        <f t="shared" si="61"/>
        <v>High</v>
      </c>
      <c r="M808" t="str">
        <f t="shared" si="62"/>
        <v>Good</v>
      </c>
      <c r="N808">
        <f t="shared" si="64"/>
        <v>243.38000000000011</v>
      </c>
      <c r="O808" s="6">
        <v>0.1</v>
      </c>
      <c r="P808">
        <f t="shared" si="63"/>
        <v>2120.04</v>
      </c>
    </row>
    <row r="809" spans="1:16" x14ac:dyDescent="0.25">
      <c r="A809" t="s">
        <v>845</v>
      </c>
      <c r="B809" s="1">
        <v>45888</v>
      </c>
      <c r="C809" t="s">
        <v>25</v>
      </c>
      <c r="D809" t="s">
        <v>12</v>
      </c>
      <c r="E809" t="s">
        <v>13</v>
      </c>
      <c r="F809" t="s">
        <v>28</v>
      </c>
      <c r="G809" t="s">
        <v>20</v>
      </c>
      <c r="H809">
        <v>233.63</v>
      </c>
      <c r="I809">
        <v>11</v>
      </c>
      <c r="J809">
        <v>2569.9299999999998</v>
      </c>
      <c r="K809" t="str">
        <f t="shared" si="60"/>
        <v>Aug</v>
      </c>
      <c r="L809" t="str">
        <f t="shared" si="61"/>
        <v>High</v>
      </c>
      <c r="M809" t="str">
        <f t="shared" si="62"/>
        <v>Good</v>
      </c>
      <c r="N809">
        <f t="shared" si="64"/>
        <v>214.32999999999993</v>
      </c>
      <c r="O809" s="6">
        <v>0.1</v>
      </c>
      <c r="P809">
        <f t="shared" si="63"/>
        <v>2312.9369999999999</v>
      </c>
    </row>
    <row r="810" spans="1:16" x14ac:dyDescent="0.25">
      <c r="A810" t="s">
        <v>846</v>
      </c>
      <c r="B810" s="1">
        <v>45736</v>
      </c>
      <c r="C810" t="s">
        <v>25</v>
      </c>
      <c r="D810" t="s">
        <v>35</v>
      </c>
      <c r="E810" t="s">
        <v>13</v>
      </c>
      <c r="F810" t="s">
        <v>61</v>
      </c>
      <c r="G810" t="s">
        <v>15</v>
      </c>
      <c r="H810">
        <v>129.18</v>
      </c>
      <c r="I810">
        <v>19</v>
      </c>
      <c r="J810">
        <v>2454.42</v>
      </c>
      <c r="K810" t="str">
        <f t="shared" si="60"/>
        <v>Mar</v>
      </c>
      <c r="L810" t="str">
        <f t="shared" si="61"/>
        <v>High</v>
      </c>
      <c r="M810" t="str">
        <f t="shared" si="62"/>
        <v>Good</v>
      </c>
      <c r="N810">
        <f t="shared" si="64"/>
        <v>-115.50999999999976</v>
      </c>
      <c r="O810" s="6">
        <v>0.1</v>
      </c>
      <c r="P810">
        <f t="shared" si="63"/>
        <v>2208.9780000000001</v>
      </c>
    </row>
    <row r="811" spans="1:16" x14ac:dyDescent="0.25">
      <c r="A811" t="s">
        <v>847</v>
      </c>
      <c r="B811" s="1">
        <v>45660</v>
      </c>
      <c r="C811" t="s">
        <v>30</v>
      </c>
      <c r="D811" t="s">
        <v>26</v>
      </c>
      <c r="E811" t="s">
        <v>27</v>
      </c>
      <c r="F811" t="s">
        <v>28</v>
      </c>
      <c r="G811" t="s">
        <v>20</v>
      </c>
      <c r="H811">
        <v>54.91</v>
      </c>
      <c r="I811">
        <v>11</v>
      </c>
      <c r="J811">
        <v>604.01</v>
      </c>
      <c r="K811" t="str">
        <f t="shared" si="60"/>
        <v>Jan</v>
      </c>
      <c r="L811" t="str">
        <f t="shared" si="61"/>
        <v>Low</v>
      </c>
      <c r="M811" t="str">
        <f t="shared" si="62"/>
        <v>Average</v>
      </c>
      <c r="N811">
        <f t="shared" si="64"/>
        <v>-1850.41</v>
      </c>
      <c r="O811" s="6">
        <v>0.1</v>
      </c>
      <c r="P811">
        <f t="shared" si="63"/>
        <v>543.60900000000004</v>
      </c>
    </row>
    <row r="812" spans="1:16" x14ac:dyDescent="0.25">
      <c r="A812" t="s">
        <v>848</v>
      </c>
      <c r="B812" s="1">
        <v>45881</v>
      </c>
      <c r="C812" t="s">
        <v>34</v>
      </c>
      <c r="D812" t="s">
        <v>26</v>
      </c>
      <c r="E812" t="s">
        <v>27</v>
      </c>
      <c r="F812" t="s">
        <v>28</v>
      </c>
      <c r="G812" t="s">
        <v>36</v>
      </c>
      <c r="H812">
        <v>246.67</v>
      </c>
      <c r="I812">
        <v>9</v>
      </c>
      <c r="J812">
        <v>2220.0300000000002</v>
      </c>
      <c r="K812" t="str">
        <f t="shared" si="60"/>
        <v>Aug</v>
      </c>
      <c r="L812" t="str">
        <f t="shared" si="61"/>
        <v>High</v>
      </c>
      <c r="M812" t="str">
        <f t="shared" si="62"/>
        <v>Good</v>
      </c>
      <c r="N812">
        <f t="shared" si="64"/>
        <v>1616.0200000000002</v>
      </c>
      <c r="O812" s="6">
        <v>0.1</v>
      </c>
      <c r="P812">
        <f t="shared" si="63"/>
        <v>1998.0270000000003</v>
      </c>
    </row>
    <row r="813" spans="1:16" x14ac:dyDescent="0.25">
      <c r="A813" t="s">
        <v>849</v>
      </c>
      <c r="B813" s="1">
        <v>45903</v>
      </c>
      <c r="C813" t="s">
        <v>38</v>
      </c>
      <c r="D813" t="s">
        <v>35</v>
      </c>
      <c r="E813" t="s">
        <v>13</v>
      </c>
      <c r="F813" t="s">
        <v>61</v>
      </c>
      <c r="G813" t="s">
        <v>20</v>
      </c>
      <c r="H813">
        <v>214.56</v>
      </c>
      <c r="I813">
        <v>15</v>
      </c>
      <c r="J813">
        <v>3218.4</v>
      </c>
      <c r="K813" t="str">
        <f t="shared" si="60"/>
        <v>Sep</v>
      </c>
      <c r="L813" t="str">
        <f t="shared" si="61"/>
        <v>High</v>
      </c>
      <c r="M813" t="str">
        <f t="shared" si="62"/>
        <v>Excellent</v>
      </c>
      <c r="N813">
        <f t="shared" si="64"/>
        <v>998.36999999999989</v>
      </c>
      <c r="O813" s="6">
        <v>0.1</v>
      </c>
      <c r="P813">
        <f t="shared" si="63"/>
        <v>2896.56</v>
      </c>
    </row>
    <row r="814" spans="1:16" x14ac:dyDescent="0.25">
      <c r="A814" t="s">
        <v>850</v>
      </c>
      <c r="B814" s="1">
        <v>45713</v>
      </c>
      <c r="C814" t="s">
        <v>17</v>
      </c>
      <c r="D814" t="s">
        <v>55</v>
      </c>
      <c r="E814" t="s">
        <v>45</v>
      </c>
      <c r="F814" t="s">
        <v>39</v>
      </c>
      <c r="G814" t="s">
        <v>36</v>
      </c>
      <c r="H814">
        <v>57.43</v>
      </c>
      <c r="I814">
        <v>6</v>
      </c>
      <c r="J814">
        <v>344.58</v>
      </c>
      <c r="K814" t="str">
        <f t="shared" si="60"/>
        <v>Feb</v>
      </c>
      <c r="L814" t="str">
        <f t="shared" si="61"/>
        <v>Low</v>
      </c>
      <c r="M814" t="str">
        <f t="shared" si="62"/>
        <v>Low</v>
      </c>
      <c r="N814">
        <f t="shared" si="64"/>
        <v>-2873.82</v>
      </c>
      <c r="O814" s="6">
        <v>0.1</v>
      </c>
      <c r="P814">
        <f t="shared" si="63"/>
        <v>310.12200000000001</v>
      </c>
    </row>
    <row r="815" spans="1:16" x14ac:dyDescent="0.25">
      <c r="A815" t="s">
        <v>851</v>
      </c>
      <c r="B815" s="1">
        <v>45729</v>
      </c>
      <c r="C815" t="s">
        <v>30</v>
      </c>
      <c r="D815" t="s">
        <v>35</v>
      </c>
      <c r="E815" t="s">
        <v>27</v>
      </c>
      <c r="F815" t="s">
        <v>28</v>
      </c>
      <c r="G815" t="s">
        <v>15</v>
      </c>
      <c r="H815">
        <v>232.59</v>
      </c>
      <c r="I815">
        <v>18</v>
      </c>
      <c r="J815">
        <v>4186.62</v>
      </c>
      <c r="K815" t="str">
        <f t="shared" si="60"/>
        <v>Mar</v>
      </c>
      <c r="L815" t="str">
        <f t="shared" si="61"/>
        <v>High</v>
      </c>
      <c r="M815" t="str">
        <f t="shared" si="62"/>
        <v>Excellent</v>
      </c>
      <c r="N815">
        <f t="shared" si="64"/>
        <v>3842.04</v>
      </c>
      <c r="O815" s="6">
        <v>0.1</v>
      </c>
      <c r="P815">
        <f t="shared" si="63"/>
        <v>3767.9580000000001</v>
      </c>
    </row>
    <row r="816" spans="1:16" x14ac:dyDescent="0.25">
      <c r="A816" t="s">
        <v>852</v>
      </c>
      <c r="B816" s="1">
        <v>45696</v>
      </c>
      <c r="C816" t="s">
        <v>25</v>
      </c>
      <c r="D816" t="s">
        <v>12</v>
      </c>
      <c r="E816" t="s">
        <v>45</v>
      </c>
      <c r="F816" t="s">
        <v>39</v>
      </c>
      <c r="G816" t="s">
        <v>20</v>
      </c>
      <c r="H816">
        <v>221.38</v>
      </c>
      <c r="I816">
        <v>1</v>
      </c>
      <c r="J816">
        <v>221.38</v>
      </c>
      <c r="K816" t="str">
        <f t="shared" si="60"/>
        <v>Feb</v>
      </c>
      <c r="L816" t="str">
        <f t="shared" si="61"/>
        <v>Low</v>
      </c>
      <c r="M816" t="str">
        <f t="shared" si="62"/>
        <v>Low</v>
      </c>
      <c r="N816">
        <f t="shared" si="64"/>
        <v>-3965.24</v>
      </c>
      <c r="O816" s="6">
        <v>0.1</v>
      </c>
      <c r="P816">
        <f t="shared" si="63"/>
        <v>199.24199999999999</v>
      </c>
    </row>
    <row r="817" spans="1:16" x14ac:dyDescent="0.25">
      <c r="A817" t="s">
        <v>853</v>
      </c>
      <c r="B817" s="1">
        <v>45954</v>
      </c>
      <c r="C817" t="s">
        <v>25</v>
      </c>
      <c r="D817" t="s">
        <v>26</v>
      </c>
      <c r="E817" t="s">
        <v>45</v>
      </c>
      <c r="F817" t="s">
        <v>42</v>
      </c>
      <c r="G817" t="s">
        <v>36</v>
      </c>
      <c r="H817">
        <v>144.13999999999999</v>
      </c>
      <c r="I817">
        <v>13</v>
      </c>
      <c r="J817">
        <v>1873.82</v>
      </c>
      <c r="K817" t="str">
        <f t="shared" si="60"/>
        <v>Oct</v>
      </c>
      <c r="L817" t="str">
        <f t="shared" si="61"/>
        <v>Low</v>
      </c>
      <c r="M817" t="str">
        <f t="shared" si="62"/>
        <v>Good</v>
      </c>
      <c r="N817">
        <f t="shared" si="64"/>
        <v>1652.44</v>
      </c>
      <c r="O817" s="6">
        <v>0.1</v>
      </c>
      <c r="P817">
        <f t="shared" si="63"/>
        <v>1686.4379999999999</v>
      </c>
    </row>
    <row r="818" spans="1:16" x14ac:dyDescent="0.25">
      <c r="A818" t="s">
        <v>854</v>
      </c>
      <c r="B818" s="1">
        <v>45936</v>
      </c>
      <c r="C818" t="s">
        <v>38</v>
      </c>
      <c r="D818" t="s">
        <v>12</v>
      </c>
      <c r="E818" t="s">
        <v>23</v>
      </c>
      <c r="F818" t="s">
        <v>32</v>
      </c>
      <c r="G818" t="s">
        <v>36</v>
      </c>
      <c r="H818">
        <v>160.08000000000001</v>
      </c>
      <c r="I818">
        <v>18</v>
      </c>
      <c r="J818">
        <v>2881.44</v>
      </c>
      <c r="K818" t="str">
        <f t="shared" si="60"/>
        <v>Oct</v>
      </c>
      <c r="L818" t="str">
        <f t="shared" si="61"/>
        <v>High</v>
      </c>
      <c r="M818" t="str">
        <f t="shared" si="62"/>
        <v>Good</v>
      </c>
      <c r="N818">
        <f t="shared" si="64"/>
        <v>1007.6200000000001</v>
      </c>
      <c r="O818" s="6">
        <v>0.1</v>
      </c>
      <c r="P818">
        <f t="shared" si="63"/>
        <v>2593.2960000000003</v>
      </c>
    </row>
    <row r="819" spans="1:16" x14ac:dyDescent="0.25">
      <c r="A819" t="s">
        <v>855</v>
      </c>
      <c r="B819" s="1">
        <v>45772</v>
      </c>
      <c r="C819" t="s">
        <v>17</v>
      </c>
      <c r="D819" t="s">
        <v>35</v>
      </c>
      <c r="E819" t="s">
        <v>23</v>
      </c>
      <c r="F819" t="s">
        <v>61</v>
      </c>
      <c r="G819" t="s">
        <v>20</v>
      </c>
      <c r="H819">
        <v>117.78</v>
      </c>
      <c r="I819">
        <v>19</v>
      </c>
      <c r="J819">
        <v>2237.8200000000002</v>
      </c>
      <c r="K819" t="str">
        <f t="shared" si="60"/>
        <v>Apr</v>
      </c>
      <c r="L819" t="str">
        <f t="shared" si="61"/>
        <v>High</v>
      </c>
      <c r="M819" t="str">
        <f t="shared" si="62"/>
        <v>Good</v>
      </c>
      <c r="N819">
        <f t="shared" si="64"/>
        <v>-643.61999999999989</v>
      </c>
      <c r="O819" s="6">
        <v>0.1</v>
      </c>
      <c r="P819">
        <f t="shared" si="63"/>
        <v>2014.0380000000002</v>
      </c>
    </row>
    <row r="820" spans="1:16" x14ac:dyDescent="0.25">
      <c r="A820" t="s">
        <v>856</v>
      </c>
      <c r="B820" s="1">
        <v>45919</v>
      </c>
      <c r="C820" t="s">
        <v>38</v>
      </c>
      <c r="D820" t="s">
        <v>35</v>
      </c>
      <c r="E820" t="s">
        <v>18</v>
      </c>
      <c r="F820" t="s">
        <v>19</v>
      </c>
      <c r="G820" t="s">
        <v>20</v>
      </c>
      <c r="H820">
        <v>42.05</v>
      </c>
      <c r="I820">
        <v>3</v>
      </c>
      <c r="J820">
        <v>126.15</v>
      </c>
      <c r="K820" t="str">
        <f t="shared" si="60"/>
        <v>Sep</v>
      </c>
      <c r="L820" t="str">
        <f t="shared" si="61"/>
        <v>Low</v>
      </c>
      <c r="M820" t="str">
        <f t="shared" si="62"/>
        <v>Low</v>
      </c>
      <c r="N820">
        <f t="shared" si="64"/>
        <v>-2111.67</v>
      </c>
      <c r="O820" s="6">
        <v>0.1</v>
      </c>
      <c r="P820">
        <f t="shared" si="63"/>
        <v>113.53500000000001</v>
      </c>
    </row>
    <row r="821" spans="1:16" x14ac:dyDescent="0.25">
      <c r="A821" t="s">
        <v>857</v>
      </c>
      <c r="B821" s="1">
        <v>45780</v>
      </c>
      <c r="C821" t="s">
        <v>17</v>
      </c>
      <c r="D821" t="s">
        <v>26</v>
      </c>
      <c r="E821" t="s">
        <v>18</v>
      </c>
      <c r="F821" t="s">
        <v>14</v>
      </c>
      <c r="G821" t="s">
        <v>36</v>
      </c>
      <c r="H821">
        <v>103.74</v>
      </c>
      <c r="I821">
        <v>20</v>
      </c>
      <c r="J821">
        <v>2074.8000000000002</v>
      </c>
      <c r="K821" t="str">
        <f t="shared" si="60"/>
        <v>May</v>
      </c>
      <c r="L821" t="str">
        <f t="shared" si="61"/>
        <v>High</v>
      </c>
      <c r="M821" t="str">
        <f t="shared" si="62"/>
        <v>Good</v>
      </c>
      <c r="N821">
        <f t="shared" si="64"/>
        <v>1948.65</v>
      </c>
      <c r="O821" s="6">
        <v>0.1</v>
      </c>
      <c r="P821">
        <f t="shared" si="63"/>
        <v>1867.3200000000002</v>
      </c>
    </row>
    <row r="822" spans="1:16" x14ac:dyDescent="0.25">
      <c r="A822" t="s">
        <v>858</v>
      </c>
      <c r="B822" s="1">
        <v>45739</v>
      </c>
      <c r="C822" t="s">
        <v>25</v>
      </c>
      <c r="D822" t="s">
        <v>55</v>
      </c>
      <c r="E822" t="s">
        <v>27</v>
      </c>
      <c r="F822" t="s">
        <v>39</v>
      </c>
      <c r="G822" t="s">
        <v>15</v>
      </c>
      <c r="H822">
        <v>206.63</v>
      </c>
      <c r="I822">
        <v>6</v>
      </c>
      <c r="J822">
        <v>1239.78</v>
      </c>
      <c r="K822" t="str">
        <f t="shared" si="60"/>
        <v>Mar</v>
      </c>
      <c r="L822" t="str">
        <f t="shared" si="61"/>
        <v>Low</v>
      </c>
      <c r="M822" t="str">
        <f t="shared" si="62"/>
        <v>Average</v>
      </c>
      <c r="N822">
        <f t="shared" si="64"/>
        <v>-835.02000000000021</v>
      </c>
      <c r="O822" s="6">
        <v>0.1</v>
      </c>
      <c r="P822">
        <f t="shared" si="63"/>
        <v>1115.8019999999999</v>
      </c>
    </row>
    <row r="823" spans="1:16" x14ac:dyDescent="0.25">
      <c r="A823" t="s">
        <v>859</v>
      </c>
      <c r="B823" s="1">
        <v>45905</v>
      </c>
      <c r="C823" t="s">
        <v>11</v>
      </c>
      <c r="D823" t="s">
        <v>26</v>
      </c>
      <c r="E823" t="s">
        <v>41</v>
      </c>
      <c r="F823" t="s">
        <v>14</v>
      </c>
      <c r="G823" t="s">
        <v>15</v>
      </c>
      <c r="H823">
        <v>31.02</v>
      </c>
      <c r="I823">
        <v>12</v>
      </c>
      <c r="J823">
        <v>372.24</v>
      </c>
      <c r="K823" t="str">
        <f t="shared" si="60"/>
        <v>Sep</v>
      </c>
      <c r="L823" t="str">
        <f t="shared" si="61"/>
        <v>Low</v>
      </c>
      <c r="M823" t="str">
        <f t="shared" si="62"/>
        <v>Low</v>
      </c>
      <c r="N823">
        <f t="shared" si="64"/>
        <v>-867.54</v>
      </c>
      <c r="O823" s="6">
        <v>0.1</v>
      </c>
      <c r="P823">
        <f t="shared" si="63"/>
        <v>335.01600000000002</v>
      </c>
    </row>
    <row r="824" spans="1:16" x14ac:dyDescent="0.25">
      <c r="A824" t="s">
        <v>860</v>
      </c>
      <c r="B824" s="1">
        <v>45793</v>
      </c>
      <c r="C824" t="s">
        <v>30</v>
      </c>
      <c r="D824" t="s">
        <v>22</v>
      </c>
      <c r="E824" t="s">
        <v>27</v>
      </c>
      <c r="F824" t="s">
        <v>14</v>
      </c>
      <c r="G824" t="s">
        <v>20</v>
      </c>
      <c r="H824">
        <v>103.37</v>
      </c>
      <c r="I824">
        <v>12</v>
      </c>
      <c r="J824">
        <v>1240.44</v>
      </c>
      <c r="K824" t="str">
        <f t="shared" si="60"/>
        <v>May</v>
      </c>
      <c r="L824" t="str">
        <f t="shared" si="61"/>
        <v>Low</v>
      </c>
      <c r="M824" t="str">
        <f t="shared" si="62"/>
        <v>Average</v>
      </c>
      <c r="N824">
        <f t="shared" si="64"/>
        <v>868.2</v>
      </c>
      <c r="O824" s="6">
        <v>0.1</v>
      </c>
      <c r="P824">
        <f t="shared" si="63"/>
        <v>1116.3960000000002</v>
      </c>
    </row>
    <row r="825" spans="1:16" x14ac:dyDescent="0.25">
      <c r="A825" t="s">
        <v>861</v>
      </c>
      <c r="B825" s="1">
        <v>45842</v>
      </c>
      <c r="C825" t="s">
        <v>38</v>
      </c>
      <c r="D825" t="s">
        <v>31</v>
      </c>
      <c r="E825" t="s">
        <v>45</v>
      </c>
      <c r="F825" t="s">
        <v>19</v>
      </c>
      <c r="G825" t="s">
        <v>20</v>
      </c>
      <c r="H825">
        <v>117.6</v>
      </c>
      <c r="I825">
        <v>13</v>
      </c>
      <c r="J825">
        <v>1528.8</v>
      </c>
      <c r="K825" t="str">
        <f t="shared" si="60"/>
        <v>Jul</v>
      </c>
      <c r="L825" t="str">
        <f t="shared" si="61"/>
        <v>Low</v>
      </c>
      <c r="M825" t="str">
        <f t="shared" si="62"/>
        <v>Good</v>
      </c>
      <c r="N825">
        <f t="shared" si="64"/>
        <v>288.3599999999999</v>
      </c>
      <c r="O825" s="6">
        <v>0.1</v>
      </c>
      <c r="P825">
        <f t="shared" si="63"/>
        <v>1375.92</v>
      </c>
    </row>
    <row r="826" spans="1:16" x14ac:dyDescent="0.25">
      <c r="A826" t="s">
        <v>862</v>
      </c>
      <c r="B826" s="1">
        <v>45823</v>
      </c>
      <c r="C826" t="s">
        <v>17</v>
      </c>
      <c r="D826" t="s">
        <v>55</v>
      </c>
      <c r="E826" t="s">
        <v>27</v>
      </c>
      <c r="F826" t="s">
        <v>39</v>
      </c>
      <c r="G826" t="s">
        <v>36</v>
      </c>
      <c r="H826">
        <v>148.22999999999999</v>
      </c>
      <c r="I826">
        <v>4</v>
      </c>
      <c r="J826">
        <v>592.91999999999996</v>
      </c>
      <c r="K826" t="str">
        <f t="shared" si="60"/>
        <v>Jun</v>
      </c>
      <c r="L826" t="str">
        <f t="shared" si="61"/>
        <v>Low</v>
      </c>
      <c r="M826" t="str">
        <f t="shared" si="62"/>
        <v>Average</v>
      </c>
      <c r="N826">
        <f t="shared" si="64"/>
        <v>-935.88</v>
      </c>
      <c r="O826" s="6">
        <v>0.1</v>
      </c>
      <c r="P826">
        <f t="shared" si="63"/>
        <v>533.62799999999993</v>
      </c>
    </row>
    <row r="827" spans="1:16" x14ac:dyDescent="0.25">
      <c r="A827" t="s">
        <v>863</v>
      </c>
      <c r="B827" s="1">
        <v>45792</v>
      </c>
      <c r="C827" t="s">
        <v>25</v>
      </c>
      <c r="D827" t="s">
        <v>55</v>
      </c>
      <c r="E827" t="s">
        <v>23</v>
      </c>
      <c r="F827" t="s">
        <v>61</v>
      </c>
      <c r="G827" t="s">
        <v>20</v>
      </c>
      <c r="H827">
        <v>232.37</v>
      </c>
      <c r="I827">
        <v>19</v>
      </c>
      <c r="J827">
        <v>4415.03</v>
      </c>
      <c r="K827" t="str">
        <f t="shared" si="60"/>
        <v>May</v>
      </c>
      <c r="L827" t="str">
        <f t="shared" si="61"/>
        <v>High</v>
      </c>
      <c r="M827" t="str">
        <f t="shared" si="62"/>
        <v>Excellent</v>
      </c>
      <c r="N827">
        <f t="shared" si="64"/>
        <v>3822.1099999999997</v>
      </c>
      <c r="O827" s="6">
        <v>0.1</v>
      </c>
      <c r="P827">
        <f t="shared" si="63"/>
        <v>3973.527</v>
      </c>
    </row>
    <row r="828" spans="1:16" x14ac:dyDescent="0.25">
      <c r="A828" t="s">
        <v>864</v>
      </c>
      <c r="B828" s="1">
        <v>45851</v>
      </c>
      <c r="C828" t="s">
        <v>25</v>
      </c>
      <c r="D828" t="s">
        <v>12</v>
      </c>
      <c r="E828" t="s">
        <v>45</v>
      </c>
      <c r="F828" t="s">
        <v>42</v>
      </c>
      <c r="G828" t="s">
        <v>36</v>
      </c>
      <c r="H828">
        <v>106.2</v>
      </c>
      <c r="I828">
        <v>12</v>
      </c>
      <c r="J828">
        <v>1274.4000000000001</v>
      </c>
      <c r="K828" t="str">
        <f t="shared" si="60"/>
        <v>Jul</v>
      </c>
      <c r="L828" t="str">
        <f t="shared" si="61"/>
        <v>Low</v>
      </c>
      <c r="M828" t="str">
        <f t="shared" si="62"/>
        <v>Average</v>
      </c>
      <c r="N828">
        <f t="shared" si="64"/>
        <v>-3140.6299999999997</v>
      </c>
      <c r="O828" s="6">
        <v>0.1</v>
      </c>
      <c r="P828">
        <f t="shared" si="63"/>
        <v>1146.96</v>
      </c>
    </row>
    <row r="829" spans="1:16" x14ac:dyDescent="0.25">
      <c r="A829" t="s">
        <v>865</v>
      </c>
      <c r="B829" s="1">
        <v>45850</v>
      </c>
      <c r="C829" t="s">
        <v>25</v>
      </c>
      <c r="D829" t="s">
        <v>31</v>
      </c>
      <c r="E829" t="s">
        <v>13</v>
      </c>
      <c r="F829" t="s">
        <v>39</v>
      </c>
      <c r="G829" t="s">
        <v>36</v>
      </c>
      <c r="H829">
        <v>106.33</v>
      </c>
      <c r="I829">
        <v>8</v>
      </c>
      <c r="J829">
        <v>850.64</v>
      </c>
      <c r="K829" t="str">
        <f t="shared" si="60"/>
        <v>Jul</v>
      </c>
      <c r="L829" t="str">
        <f t="shared" si="61"/>
        <v>Low</v>
      </c>
      <c r="M829" t="str">
        <f t="shared" si="62"/>
        <v>Average</v>
      </c>
      <c r="N829">
        <f t="shared" si="64"/>
        <v>-423.7600000000001</v>
      </c>
      <c r="O829" s="6">
        <v>0.1</v>
      </c>
      <c r="P829">
        <f t="shared" si="63"/>
        <v>765.57600000000002</v>
      </c>
    </row>
    <row r="830" spans="1:16" x14ac:dyDescent="0.25">
      <c r="A830" t="s">
        <v>866</v>
      </c>
      <c r="B830" s="1">
        <v>45907</v>
      </c>
      <c r="C830" t="s">
        <v>25</v>
      </c>
      <c r="D830" t="s">
        <v>22</v>
      </c>
      <c r="E830" t="s">
        <v>18</v>
      </c>
      <c r="F830" t="s">
        <v>14</v>
      </c>
      <c r="G830" t="s">
        <v>36</v>
      </c>
      <c r="H830">
        <v>192.25</v>
      </c>
      <c r="I830">
        <v>16</v>
      </c>
      <c r="J830">
        <v>3076</v>
      </c>
      <c r="K830" t="str">
        <f t="shared" si="60"/>
        <v>Sep</v>
      </c>
      <c r="L830" t="str">
        <f t="shared" si="61"/>
        <v>High</v>
      </c>
      <c r="M830" t="str">
        <f t="shared" si="62"/>
        <v>Excellent</v>
      </c>
      <c r="N830">
        <f t="shared" si="64"/>
        <v>2225.36</v>
      </c>
      <c r="O830" s="6">
        <v>0.1</v>
      </c>
      <c r="P830">
        <f t="shared" si="63"/>
        <v>2768.4</v>
      </c>
    </row>
    <row r="831" spans="1:16" x14ac:dyDescent="0.25">
      <c r="A831" t="s">
        <v>867</v>
      </c>
      <c r="B831" s="1">
        <v>45742</v>
      </c>
      <c r="C831" t="s">
        <v>11</v>
      </c>
      <c r="D831" t="s">
        <v>55</v>
      </c>
      <c r="E831" t="s">
        <v>27</v>
      </c>
      <c r="F831" t="s">
        <v>32</v>
      </c>
      <c r="G831" t="s">
        <v>15</v>
      </c>
      <c r="H831">
        <v>129.49</v>
      </c>
      <c r="I831">
        <v>8</v>
      </c>
      <c r="J831">
        <v>1035.92</v>
      </c>
      <c r="K831" t="str">
        <f t="shared" si="60"/>
        <v>Mar</v>
      </c>
      <c r="L831" t="str">
        <f t="shared" si="61"/>
        <v>Low</v>
      </c>
      <c r="M831" t="str">
        <f t="shared" si="62"/>
        <v>Average</v>
      </c>
      <c r="N831">
        <f t="shared" si="64"/>
        <v>-2040.08</v>
      </c>
      <c r="O831" s="6">
        <v>0.1</v>
      </c>
      <c r="P831">
        <f t="shared" si="63"/>
        <v>932.32800000000009</v>
      </c>
    </row>
    <row r="832" spans="1:16" x14ac:dyDescent="0.25">
      <c r="A832" t="s">
        <v>868</v>
      </c>
      <c r="B832" s="1">
        <v>45734</v>
      </c>
      <c r="C832" t="s">
        <v>30</v>
      </c>
      <c r="D832" t="s">
        <v>35</v>
      </c>
      <c r="E832" t="s">
        <v>18</v>
      </c>
      <c r="F832" t="s">
        <v>28</v>
      </c>
      <c r="G832" t="s">
        <v>15</v>
      </c>
      <c r="H832">
        <v>79.41</v>
      </c>
      <c r="I832">
        <v>6</v>
      </c>
      <c r="J832">
        <v>476.46</v>
      </c>
      <c r="K832" t="str">
        <f t="shared" si="60"/>
        <v>Mar</v>
      </c>
      <c r="L832" t="str">
        <f t="shared" si="61"/>
        <v>Low</v>
      </c>
      <c r="M832" t="str">
        <f t="shared" si="62"/>
        <v>Low</v>
      </c>
      <c r="N832">
        <f t="shared" si="64"/>
        <v>-559.46</v>
      </c>
      <c r="O832" s="6">
        <v>0.1</v>
      </c>
      <c r="P832">
        <f t="shared" si="63"/>
        <v>428.81399999999996</v>
      </c>
    </row>
    <row r="833" spans="1:16" x14ac:dyDescent="0.25">
      <c r="A833" t="s">
        <v>869</v>
      </c>
      <c r="B833" s="1">
        <v>45996</v>
      </c>
      <c r="C833" t="s">
        <v>38</v>
      </c>
      <c r="D833" t="s">
        <v>35</v>
      </c>
      <c r="E833" t="s">
        <v>27</v>
      </c>
      <c r="F833" t="s">
        <v>19</v>
      </c>
      <c r="G833" t="s">
        <v>36</v>
      </c>
      <c r="H833">
        <v>129.54</v>
      </c>
      <c r="I833">
        <v>8</v>
      </c>
      <c r="J833">
        <v>1036.32</v>
      </c>
      <c r="K833" t="str">
        <f t="shared" si="60"/>
        <v>Dec</v>
      </c>
      <c r="L833" t="str">
        <f t="shared" si="61"/>
        <v>Low</v>
      </c>
      <c r="M833" t="str">
        <f t="shared" si="62"/>
        <v>Average</v>
      </c>
      <c r="N833">
        <f t="shared" si="64"/>
        <v>559.8599999999999</v>
      </c>
      <c r="O833" s="6">
        <v>0.1</v>
      </c>
      <c r="P833">
        <f t="shared" si="63"/>
        <v>932.68799999999999</v>
      </c>
    </row>
    <row r="834" spans="1:16" x14ac:dyDescent="0.25">
      <c r="A834" t="s">
        <v>870</v>
      </c>
      <c r="B834" s="1">
        <v>46003</v>
      </c>
      <c r="C834" t="s">
        <v>38</v>
      </c>
      <c r="D834" t="s">
        <v>26</v>
      </c>
      <c r="E834" t="s">
        <v>18</v>
      </c>
      <c r="F834" t="s">
        <v>14</v>
      </c>
      <c r="G834" t="s">
        <v>20</v>
      </c>
      <c r="H834">
        <v>60.99</v>
      </c>
      <c r="I834">
        <v>16</v>
      </c>
      <c r="J834">
        <v>975.84</v>
      </c>
      <c r="K834" t="str">
        <f t="shared" ref="K834:K897" si="65">TEXT(B834,"MMM")</f>
        <v>Dec</v>
      </c>
      <c r="L834" t="str">
        <f t="shared" ref="L834:L897" si="66">IF(J834&gt;2000,"High","Low")</f>
        <v>Low</v>
      </c>
      <c r="M834" t="str">
        <f t="shared" ref="M834:M897" si="67">IF(J834&gt;3000,"Excellent",
 IF(J834&gt;1500,"Good",
 IF(J834&gt;500,"Average","Low")))</f>
        <v>Average</v>
      </c>
      <c r="N834">
        <f t="shared" si="64"/>
        <v>-60.479999999999905</v>
      </c>
      <c r="O834" s="6">
        <v>0.1</v>
      </c>
      <c r="P834">
        <f t="shared" ref="P834:P897" si="68">J834*(1-O834)</f>
        <v>878.25600000000009</v>
      </c>
    </row>
    <row r="835" spans="1:16" x14ac:dyDescent="0.25">
      <c r="A835" t="s">
        <v>871</v>
      </c>
      <c r="B835" s="1">
        <v>45868</v>
      </c>
      <c r="C835" t="s">
        <v>30</v>
      </c>
      <c r="D835" t="s">
        <v>22</v>
      </c>
      <c r="E835" t="s">
        <v>23</v>
      </c>
      <c r="F835" t="s">
        <v>42</v>
      </c>
      <c r="G835" t="s">
        <v>20</v>
      </c>
      <c r="H835">
        <v>68.81</v>
      </c>
      <c r="I835">
        <v>1</v>
      </c>
      <c r="J835">
        <v>68.81</v>
      </c>
      <c r="K835" t="str">
        <f t="shared" si="65"/>
        <v>Jul</v>
      </c>
      <c r="L835" t="str">
        <f t="shared" si="66"/>
        <v>Low</v>
      </c>
      <c r="M835" t="str">
        <f t="shared" si="67"/>
        <v>Low</v>
      </c>
      <c r="N835">
        <f t="shared" ref="N835:N898" si="69">J835-J834</f>
        <v>-907.03</v>
      </c>
      <c r="O835" s="6">
        <v>0.1</v>
      </c>
      <c r="P835">
        <f t="shared" si="68"/>
        <v>61.929000000000002</v>
      </c>
    </row>
    <row r="836" spans="1:16" x14ac:dyDescent="0.25">
      <c r="A836" t="s">
        <v>872</v>
      </c>
      <c r="B836" s="1">
        <v>45740</v>
      </c>
      <c r="C836" t="s">
        <v>17</v>
      </c>
      <c r="D836" t="s">
        <v>55</v>
      </c>
      <c r="E836" t="s">
        <v>45</v>
      </c>
      <c r="F836" t="s">
        <v>42</v>
      </c>
      <c r="G836" t="s">
        <v>15</v>
      </c>
      <c r="H836">
        <v>139.63999999999999</v>
      </c>
      <c r="I836">
        <v>5</v>
      </c>
      <c r="J836">
        <v>698.2</v>
      </c>
      <c r="K836" t="str">
        <f t="shared" si="65"/>
        <v>Mar</v>
      </c>
      <c r="L836" t="str">
        <f t="shared" si="66"/>
        <v>Low</v>
      </c>
      <c r="M836" t="str">
        <f t="shared" si="67"/>
        <v>Average</v>
      </c>
      <c r="N836">
        <f t="shared" si="69"/>
        <v>629.3900000000001</v>
      </c>
      <c r="O836" s="6">
        <v>0.1</v>
      </c>
      <c r="P836">
        <f t="shared" si="68"/>
        <v>628.38000000000011</v>
      </c>
    </row>
    <row r="837" spans="1:16" x14ac:dyDescent="0.25">
      <c r="A837" t="s">
        <v>873</v>
      </c>
      <c r="B837" s="1">
        <v>45686</v>
      </c>
      <c r="C837" t="s">
        <v>34</v>
      </c>
      <c r="D837" t="s">
        <v>26</v>
      </c>
      <c r="E837" t="s">
        <v>18</v>
      </c>
      <c r="F837" t="s">
        <v>61</v>
      </c>
      <c r="G837" t="s">
        <v>20</v>
      </c>
      <c r="H837">
        <v>122.16</v>
      </c>
      <c r="I837">
        <v>6</v>
      </c>
      <c r="J837">
        <v>732.96</v>
      </c>
      <c r="K837" t="str">
        <f t="shared" si="65"/>
        <v>Jan</v>
      </c>
      <c r="L837" t="str">
        <f t="shared" si="66"/>
        <v>Low</v>
      </c>
      <c r="M837" t="str">
        <f t="shared" si="67"/>
        <v>Average</v>
      </c>
      <c r="N837">
        <f t="shared" si="69"/>
        <v>34.759999999999991</v>
      </c>
      <c r="O837" s="6">
        <v>0.1</v>
      </c>
      <c r="P837">
        <f t="shared" si="68"/>
        <v>659.6640000000001</v>
      </c>
    </row>
    <row r="838" spans="1:16" x14ac:dyDescent="0.25">
      <c r="A838" t="s">
        <v>874</v>
      </c>
      <c r="B838" s="1">
        <v>45946</v>
      </c>
      <c r="C838" t="s">
        <v>17</v>
      </c>
      <c r="D838" t="s">
        <v>12</v>
      </c>
      <c r="E838" t="s">
        <v>27</v>
      </c>
      <c r="F838" t="s">
        <v>39</v>
      </c>
      <c r="G838" t="s">
        <v>36</v>
      </c>
      <c r="H838">
        <v>231.27</v>
      </c>
      <c r="I838">
        <v>1</v>
      </c>
      <c r="J838">
        <v>231.27</v>
      </c>
      <c r="K838" t="str">
        <f t="shared" si="65"/>
        <v>Oct</v>
      </c>
      <c r="L838" t="str">
        <f t="shared" si="66"/>
        <v>Low</v>
      </c>
      <c r="M838" t="str">
        <f t="shared" si="67"/>
        <v>Low</v>
      </c>
      <c r="N838">
        <f t="shared" si="69"/>
        <v>-501.69000000000005</v>
      </c>
      <c r="O838" s="6">
        <v>0.1</v>
      </c>
      <c r="P838">
        <f t="shared" si="68"/>
        <v>208.143</v>
      </c>
    </row>
    <row r="839" spans="1:16" x14ac:dyDescent="0.25">
      <c r="A839" t="s">
        <v>875</v>
      </c>
      <c r="B839" s="1">
        <v>45701</v>
      </c>
      <c r="C839" t="s">
        <v>38</v>
      </c>
      <c r="D839" t="s">
        <v>55</v>
      </c>
      <c r="E839" t="s">
        <v>41</v>
      </c>
      <c r="F839" t="s">
        <v>39</v>
      </c>
      <c r="G839" t="s">
        <v>36</v>
      </c>
      <c r="H839">
        <v>109.73</v>
      </c>
      <c r="I839">
        <v>7</v>
      </c>
      <c r="J839">
        <v>768.11</v>
      </c>
      <c r="K839" t="str">
        <f t="shared" si="65"/>
        <v>Feb</v>
      </c>
      <c r="L839" t="str">
        <f t="shared" si="66"/>
        <v>Low</v>
      </c>
      <c r="M839" t="str">
        <f t="shared" si="67"/>
        <v>Average</v>
      </c>
      <c r="N839">
        <f t="shared" si="69"/>
        <v>536.84</v>
      </c>
      <c r="O839" s="6">
        <v>0.1</v>
      </c>
      <c r="P839">
        <f t="shared" si="68"/>
        <v>691.29899999999998</v>
      </c>
    </row>
    <row r="840" spans="1:16" x14ac:dyDescent="0.25">
      <c r="A840" t="s">
        <v>876</v>
      </c>
      <c r="B840" s="1">
        <v>45745</v>
      </c>
      <c r="C840" t="s">
        <v>38</v>
      </c>
      <c r="D840" t="s">
        <v>55</v>
      </c>
      <c r="E840" t="s">
        <v>23</v>
      </c>
      <c r="F840" t="s">
        <v>39</v>
      </c>
      <c r="G840" t="s">
        <v>20</v>
      </c>
      <c r="H840">
        <v>157.72999999999999</v>
      </c>
      <c r="I840">
        <v>8</v>
      </c>
      <c r="J840">
        <v>1261.8399999999999</v>
      </c>
      <c r="K840" t="str">
        <f t="shared" si="65"/>
        <v>Mar</v>
      </c>
      <c r="L840" t="str">
        <f t="shared" si="66"/>
        <v>Low</v>
      </c>
      <c r="M840" t="str">
        <f t="shared" si="67"/>
        <v>Average</v>
      </c>
      <c r="N840">
        <f t="shared" si="69"/>
        <v>493.7299999999999</v>
      </c>
      <c r="O840" s="6">
        <v>0.1</v>
      </c>
      <c r="P840">
        <f t="shared" si="68"/>
        <v>1135.6559999999999</v>
      </c>
    </row>
    <row r="841" spans="1:16" x14ac:dyDescent="0.25">
      <c r="A841" t="s">
        <v>877</v>
      </c>
      <c r="B841" s="1">
        <v>45751</v>
      </c>
      <c r="C841" t="s">
        <v>17</v>
      </c>
      <c r="D841" t="s">
        <v>55</v>
      </c>
      <c r="E841" t="s">
        <v>13</v>
      </c>
      <c r="F841" t="s">
        <v>14</v>
      </c>
      <c r="G841" t="s">
        <v>20</v>
      </c>
      <c r="H841">
        <v>169.1</v>
      </c>
      <c r="I841">
        <v>20</v>
      </c>
      <c r="J841">
        <v>3382</v>
      </c>
      <c r="K841" t="str">
        <f t="shared" si="65"/>
        <v>Apr</v>
      </c>
      <c r="L841" t="str">
        <f t="shared" si="66"/>
        <v>High</v>
      </c>
      <c r="M841" t="str">
        <f t="shared" si="67"/>
        <v>Excellent</v>
      </c>
      <c r="N841">
        <f t="shared" si="69"/>
        <v>2120.16</v>
      </c>
      <c r="O841" s="6">
        <v>0.1</v>
      </c>
      <c r="P841">
        <f t="shared" si="68"/>
        <v>3043.8</v>
      </c>
    </row>
    <row r="842" spans="1:16" x14ac:dyDescent="0.25">
      <c r="A842" t="s">
        <v>878</v>
      </c>
      <c r="B842" s="1">
        <v>46009</v>
      </c>
      <c r="C842" t="s">
        <v>38</v>
      </c>
      <c r="D842" t="s">
        <v>55</v>
      </c>
      <c r="E842" t="s">
        <v>18</v>
      </c>
      <c r="F842" t="s">
        <v>19</v>
      </c>
      <c r="G842" t="s">
        <v>15</v>
      </c>
      <c r="H842">
        <v>32.880000000000003</v>
      </c>
      <c r="I842">
        <v>11</v>
      </c>
      <c r="J842">
        <v>361.68</v>
      </c>
      <c r="K842" t="str">
        <f t="shared" si="65"/>
        <v>Dec</v>
      </c>
      <c r="L842" t="str">
        <f t="shared" si="66"/>
        <v>Low</v>
      </c>
      <c r="M842" t="str">
        <f t="shared" si="67"/>
        <v>Low</v>
      </c>
      <c r="N842">
        <f t="shared" si="69"/>
        <v>-3020.32</v>
      </c>
      <c r="O842" s="6">
        <v>0.1</v>
      </c>
      <c r="P842">
        <f t="shared" si="68"/>
        <v>325.512</v>
      </c>
    </row>
    <row r="843" spans="1:16" x14ac:dyDescent="0.25">
      <c r="A843" t="s">
        <v>879</v>
      </c>
      <c r="B843" s="1">
        <v>45851</v>
      </c>
      <c r="C843" t="s">
        <v>30</v>
      </c>
      <c r="D843" t="s">
        <v>22</v>
      </c>
      <c r="E843" t="s">
        <v>45</v>
      </c>
      <c r="F843" t="s">
        <v>14</v>
      </c>
      <c r="G843" t="s">
        <v>20</v>
      </c>
      <c r="H843">
        <v>175.98</v>
      </c>
      <c r="I843">
        <v>13</v>
      </c>
      <c r="J843">
        <v>2287.7399999999998</v>
      </c>
      <c r="K843" t="str">
        <f t="shared" si="65"/>
        <v>Jul</v>
      </c>
      <c r="L843" t="str">
        <f t="shared" si="66"/>
        <v>High</v>
      </c>
      <c r="M843" t="str">
        <f t="shared" si="67"/>
        <v>Good</v>
      </c>
      <c r="N843">
        <f t="shared" si="69"/>
        <v>1926.0599999999997</v>
      </c>
      <c r="O843" s="6">
        <v>0.1</v>
      </c>
      <c r="P843">
        <f t="shared" si="68"/>
        <v>2058.9659999999999</v>
      </c>
    </row>
    <row r="844" spans="1:16" x14ac:dyDescent="0.25">
      <c r="A844" t="s">
        <v>880</v>
      </c>
      <c r="B844" s="1">
        <v>45916</v>
      </c>
      <c r="C844" t="s">
        <v>30</v>
      </c>
      <c r="D844" t="s">
        <v>55</v>
      </c>
      <c r="E844" t="s">
        <v>45</v>
      </c>
      <c r="F844" t="s">
        <v>14</v>
      </c>
      <c r="G844" t="s">
        <v>36</v>
      </c>
      <c r="H844">
        <v>69.17</v>
      </c>
      <c r="I844">
        <v>14</v>
      </c>
      <c r="J844">
        <v>968.38</v>
      </c>
      <c r="K844" t="str">
        <f t="shared" si="65"/>
        <v>Sep</v>
      </c>
      <c r="L844" t="str">
        <f t="shared" si="66"/>
        <v>Low</v>
      </c>
      <c r="M844" t="str">
        <f t="shared" si="67"/>
        <v>Average</v>
      </c>
      <c r="N844">
        <f t="shared" si="69"/>
        <v>-1319.3599999999997</v>
      </c>
      <c r="O844" s="6">
        <v>0.1</v>
      </c>
      <c r="P844">
        <f t="shared" si="68"/>
        <v>871.54200000000003</v>
      </c>
    </row>
    <row r="845" spans="1:16" x14ac:dyDescent="0.25">
      <c r="A845" t="s">
        <v>881</v>
      </c>
      <c r="B845" s="1">
        <v>45972</v>
      </c>
      <c r="C845" t="s">
        <v>11</v>
      </c>
      <c r="D845" t="s">
        <v>55</v>
      </c>
      <c r="E845" t="s">
        <v>18</v>
      </c>
      <c r="F845" t="s">
        <v>39</v>
      </c>
      <c r="G845" t="s">
        <v>15</v>
      </c>
      <c r="H845">
        <v>241.44</v>
      </c>
      <c r="I845">
        <v>20</v>
      </c>
      <c r="J845">
        <v>4828.8</v>
      </c>
      <c r="K845" t="str">
        <f t="shared" si="65"/>
        <v>Nov</v>
      </c>
      <c r="L845" t="str">
        <f t="shared" si="66"/>
        <v>High</v>
      </c>
      <c r="M845" t="str">
        <f t="shared" si="67"/>
        <v>Excellent</v>
      </c>
      <c r="N845">
        <f t="shared" si="69"/>
        <v>3860.42</v>
      </c>
      <c r="O845" s="6">
        <v>0.1</v>
      </c>
      <c r="P845">
        <f t="shared" si="68"/>
        <v>4345.92</v>
      </c>
    </row>
    <row r="846" spans="1:16" x14ac:dyDescent="0.25">
      <c r="A846" t="s">
        <v>882</v>
      </c>
      <c r="B846" s="1">
        <v>45705</v>
      </c>
      <c r="C846" t="s">
        <v>17</v>
      </c>
      <c r="D846" t="s">
        <v>26</v>
      </c>
      <c r="E846" t="s">
        <v>18</v>
      </c>
      <c r="F846" t="s">
        <v>42</v>
      </c>
      <c r="G846" t="s">
        <v>15</v>
      </c>
      <c r="H846">
        <v>62.71</v>
      </c>
      <c r="I846">
        <v>16</v>
      </c>
      <c r="J846">
        <v>1003.36</v>
      </c>
      <c r="K846" t="str">
        <f t="shared" si="65"/>
        <v>Feb</v>
      </c>
      <c r="L846" t="str">
        <f t="shared" si="66"/>
        <v>Low</v>
      </c>
      <c r="M846" t="str">
        <f t="shared" si="67"/>
        <v>Average</v>
      </c>
      <c r="N846">
        <f t="shared" si="69"/>
        <v>-3825.44</v>
      </c>
      <c r="O846" s="6">
        <v>0.1</v>
      </c>
      <c r="P846">
        <f t="shared" si="68"/>
        <v>903.024</v>
      </c>
    </row>
    <row r="847" spans="1:16" x14ac:dyDescent="0.25">
      <c r="A847" t="s">
        <v>883</v>
      </c>
      <c r="B847" s="1">
        <v>46005</v>
      </c>
      <c r="C847" t="s">
        <v>25</v>
      </c>
      <c r="D847" t="s">
        <v>31</v>
      </c>
      <c r="E847" t="s">
        <v>13</v>
      </c>
      <c r="F847" t="s">
        <v>39</v>
      </c>
      <c r="G847" t="s">
        <v>15</v>
      </c>
      <c r="H847">
        <v>121.22</v>
      </c>
      <c r="I847">
        <v>14</v>
      </c>
      <c r="J847">
        <v>1697.08</v>
      </c>
      <c r="K847" t="str">
        <f t="shared" si="65"/>
        <v>Dec</v>
      </c>
      <c r="L847" t="str">
        <f t="shared" si="66"/>
        <v>Low</v>
      </c>
      <c r="M847" t="str">
        <f t="shared" si="67"/>
        <v>Good</v>
      </c>
      <c r="N847">
        <f t="shared" si="69"/>
        <v>693.71999999999991</v>
      </c>
      <c r="O847" s="6">
        <v>0.1</v>
      </c>
      <c r="P847">
        <f t="shared" si="68"/>
        <v>1527.3720000000001</v>
      </c>
    </row>
    <row r="848" spans="1:16" x14ac:dyDescent="0.25">
      <c r="A848" t="s">
        <v>884</v>
      </c>
      <c r="B848" s="1">
        <v>46015</v>
      </c>
      <c r="C848" t="s">
        <v>38</v>
      </c>
      <c r="D848" t="s">
        <v>26</v>
      </c>
      <c r="E848" t="s">
        <v>41</v>
      </c>
      <c r="F848" t="s">
        <v>39</v>
      </c>
      <c r="G848" t="s">
        <v>36</v>
      </c>
      <c r="H848">
        <v>48.78</v>
      </c>
      <c r="I848">
        <v>17</v>
      </c>
      <c r="J848">
        <v>829.26</v>
      </c>
      <c r="K848" t="str">
        <f t="shared" si="65"/>
        <v>Dec</v>
      </c>
      <c r="L848" t="str">
        <f t="shared" si="66"/>
        <v>Low</v>
      </c>
      <c r="M848" t="str">
        <f t="shared" si="67"/>
        <v>Average</v>
      </c>
      <c r="N848">
        <f t="shared" si="69"/>
        <v>-867.81999999999994</v>
      </c>
      <c r="O848" s="6">
        <v>0.1</v>
      </c>
      <c r="P848">
        <f t="shared" si="68"/>
        <v>746.33400000000006</v>
      </c>
    </row>
    <row r="849" spans="1:16" x14ac:dyDescent="0.25">
      <c r="A849" t="s">
        <v>885</v>
      </c>
      <c r="B849" s="1">
        <v>45837</v>
      </c>
      <c r="C849" t="s">
        <v>17</v>
      </c>
      <c r="D849" t="s">
        <v>12</v>
      </c>
      <c r="E849" t="s">
        <v>18</v>
      </c>
      <c r="F849" t="s">
        <v>19</v>
      </c>
      <c r="G849" t="s">
        <v>36</v>
      </c>
      <c r="H849">
        <v>249.31</v>
      </c>
      <c r="I849">
        <v>19</v>
      </c>
      <c r="J849">
        <v>4736.8900000000003</v>
      </c>
      <c r="K849" t="str">
        <f t="shared" si="65"/>
        <v>Jun</v>
      </c>
      <c r="L849" t="str">
        <f t="shared" si="66"/>
        <v>High</v>
      </c>
      <c r="M849" t="str">
        <f t="shared" si="67"/>
        <v>Excellent</v>
      </c>
      <c r="N849">
        <f t="shared" si="69"/>
        <v>3907.63</v>
      </c>
      <c r="O849" s="6">
        <v>0.1</v>
      </c>
      <c r="P849">
        <f t="shared" si="68"/>
        <v>4263.201</v>
      </c>
    </row>
    <row r="850" spans="1:16" x14ac:dyDescent="0.25">
      <c r="A850" t="s">
        <v>886</v>
      </c>
      <c r="B850" s="1">
        <v>45726</v>
      </c>
      <c r="C850" t="s">
        <v>38</v>
      </c>
      <c r="D850" t="s">
        <v>26</v>
      </c>
      <c r="E850" t="s">
        <v>45</v>
      </c>
      <c r="F850" t="s">
        <v>32</v>
      </c>
      <c r="G850" t="s">
        <v>20</v>
      </c>
      <c r="H850">
        <v>140.47999999999999</v>
      </c>
      <c r="I850">
        <v>9</v>
      </c>
      <c r="J850">
        <v>1264.32</v>
      </c>
      <c r="K850" t="str">
        <f t="shared" si="65"/>
        <v>Mar</v>
      </c>
      <c r="L850" t="str">
        <f t="shared" si="66"/>
        <v>Low</v>
      </c>
      <c r="M850" t="str">
        <f t="shared" si="67"/>
        <v>Average</v>
      </c>
      <c r="N850">
        <f t="shared" si="69"/>
        <v>-3472.5700000000006</v>
      </c>
      <c r="O850" s="6">
        <v>0.1</v>
      </c>
      <c r="P850">
        <f t="shared" si="68"/>
        <v>1137.8879999999999</v>
      </c>
    </row>
    <row r="851" spans="1:16" x14ac:dyDescent="0.25">
      <c r="A851" t="s">
        <v>887</v>
      </c>
      <c r="B851" s="1">
        <v>45936</v>
      </c>
      <c r="C851" t="s">
        <v>34</v>
      </c>
      <c r="D851" t="s">
        <v>26</v>
      </c>
      <c r="E851" t="s">
        <v>45</v>
      </c>
      <c r="F851" t="s">
        <v>28</v>
      </c>
      <c r="G851" t="s">
        <v>20</v>
      </c>
      <c r="H851">
        <v>160.97999999999999</v>
      </c>
      <c r="I851">
        <v>14</v>
      </c>
      <c r="J851">
        <v>2253.7199999999998</v>
      </c>
      <c r="K851" t="str">
        <f t="shared" si="65"/>
        <v>Oct</v>
      </c>
      <c r="L851" t="str">
        <f t="shared" si="66"/>
        <v>High</v>
      </c>
      <c r="M851" t="str">
        <f t="shared" si="67"/>
        <v>Good</v>
      </c>
      <c r="N851">
        <f t="shared" si="69"/>
        <v>989.39999999999986</v>
      </c>
      <c r="O851" s="6">
        <v>0.1</v>
      </c>
      <c r="P851">
        <f t="shared" si="68"/>
        <v>2028.348</v>
      </c>
    </row>
    <row r="852" spans="1:16" x14ac:dyDescent="0.25">
      <c r="A852" t="s">
        <v>888</v>
      </c>
      <c r="B852" s="1">
        <v>45661</v>
      </c>
      <c r="C852" t="s">
        <v>25</v>
      </c>
      <c r="D852" t="s">
        <v>22</v>
      </c>
      <c r="E852" t="s">
        <v>18</v>
      </c>
      <c r="F852" t="s">
        <v>19</v>
      </c>
      <c r="G852" t="s">
        <v>36</v>
      </c>
      <c r="H852">
        <v>44.76</v>
      </c>
      <c r="I852">
        <v>19</v>
      </c>
      <c r="J852">
        <v>850.44</v>
      </c>
      <c r="K852" t="str">
        <f t="shared" si="65"/>
        <v>Jan</v>
      </c>
      <c r="L852" t="str">
        <f t="shared" si="66"/>
        <v>Low</v>
      </c>
      <c r="M852" t="str">
        <f t="shared" si="67"/>
        <v>Average</v>
      </c>
      <c r="N852">
        <f t="shared" si="69"/>
        <v>-1403.2799999999997</v>
      </c>
      <c r="O852" s="6">
        <v>0.1</v>
      </c>
      <c r="P852">
        <f t="shared" si="68"/>
        <v>765.39600000000007</v>
      </c>
    </row>
    <row r="853" spans="1:16" x14ac:dyDescent="0.25">
      <c r="A853" t="s">
        <v>889</v>
      </c>
      <c r="B853" s="1">
        <v>45993</v>
      </c>
      <c r="C853" t="s">
        <v>17</v>
      </c>
      <c r="D853" t="s">
        <v>35</v>
      </c>
      <c r="E853" t="s">
        <v>41</v>
      </c>
      <c r="F853" t="s">
        <v>32</v>
      </c>
      <c r="G853" t="s">
        <v>15</v>
      </c>
      <c r="H853">
        <v>194.99</v>
      </c>
      <c r="I853">
        <v>7</v>
      </c>
      <c r="J853">
        <v>1364.93</v>
      </c>
      <c r="K853" t="str">
        <f t="shared" si="65"/>
        <v>Dec</v>
      </c>
      <c r="L853" t="str">
        <f t="shared" si="66"/>
        <v>Low</v>
      </c>
      <c r="M853" t="str">
        <f t="shared" si="67"/>
        <v>Average</v>
      </c>
      <c r="N853">
        <f t="shared" si="69"/>
        <v>514.49</v>
      </c>
      <c r="O853" s="6">
        <v>0.1</v>
      </c>
      <c r="P853">
        <f t="shared" si="68"/>
        <v>1228.4370000000001</v>
      </c>
    </row>
    <row r="854" spans="1:16" x14ac:dyDescent="0.25">
      <c r="A854" t="s">
        <v>890</v>
      </c>
      <c r="B854" s="1">
        <v>45737</v>
      </c>
      <c r="C854" t="s">
        <v>17</v>
      </c>
      <c r="D854" t="s">
        <v>55</v>
      </c>
      <c r="E854" t="s">
        <v>13</v>
      </c>
      <c r="F854" t="s">
        <v>32</v>
      </c>
      <c r="G854" t="s">
        <v>20</v>
      </c>
      <c r="H854">
        <v>76.180000000000007</v>
      </c>
      <c r="I854">
        <v>14</v>
      </c>
      <c r="J854">
        <v>1066.52</v>
      </c>
      <c r="K854" t="str">
        <f t="shared" si="65"/>
        <v>Mar</v>
      </c>
      <c r="L854" t="str">
        <f t="shared" si="66"/>
        <v>Low</v>
      </c>
      <c r="M854" t="str">
        <f t="shared" si="67"/>
        <v>Average</v>
      </c>
      <c r="N854">
        <f t="shared" si="69"/>
        <v>-298.41000000000008</v>
      </c>
      <c r="O854" s="6">
        <v>0.1</v>
      </c>
      <c r="P854">
        <f t="shared" si="68"/>
        <v>959.86800000000005</v>
      </c>
    </row>
    <row r="855" spans="1:16" x14ac:dyDescent="0.25">
      <c r="A855" t="s">
        <v>891</v>
      </c>
      <c r="B855" s="1">
        <v>45874</v>
      </c>
      <c r="C855" t="s">
        <v>34</v>
      </c>
      <c r="D855" t="s">
        <v>55</v>
      </c>
      <c r="E855" t="s">
        <v>13</v>
      </c>
      <c r="F855" t="s">
        <v>28</v>
      </c>
      <c r="G855" t="s">
        <v>36</v>
      </c>
      <c r="H855">
        <v>227.57</v>
      </c>
      <c r="I855">
        <v>19</v>
      </c>
      <c r="J855">
        <v>4323.83</v>
      </c>
      <c r="K855" t="str">
        <f t="shared" si="65"/>
        <v>Aug</v>
      </c>
      <c r="L855" t="str">
        <f t="shared" si="66"/>
        <v>High</v>
      </c>
      <c r="M855" t="str">
        <f t="shared" si="67"/>
        <v>Excellent</v>
      </c>
      <c r="N855">
        <f t="shared" si="69"/>
        <v>3257.31</v>
      </c>
      <c r="O855" s="6">
        <v>0.1</v>
      </c>
      <c r="P855">
        <f t="shared" si="68"/>
        <v>3891.4470000000001</v>
      </c>
    </row>
    <row r="856" spans="1:16" x14ac:dyDescent="0.25">
      <c r="A856" t="s">
        <v>892</v>
      </c>
      <c r="B856" s="1">
        <v>45762</v>
      </c>
      <c r="C856" t="s">
        <v>25</v>
      </c>
      <c r="D856" t="s">
        <v>55</v>
      </c>
      <c r="E856" t="s">
        <v>41</v>
      </c>
      <c r="F856" t="s">
        <v>14</v>
      </c>
      <c r="G856" t="s">
        <v>36</v>
      </c>
      <c r="H856">
        <v>75.13</v>
      </c>
      <c r="I856">
        <v>14</v>
      </c>
      <c r="J856">
        <v>1051.82</v>
      </c>
      <c r="K856" t="str">
        <f t="shared" si="65"/>
        <v>Apr</v>
      </c>
      <c r="L856" t="str">
        <f t="shared" si="66"/>
        <v>Low</v>
      </c>
      <c r="M856" t="str">
        <f t="shared" si="67"/>
        <v>Average</v>
      </c>
      <c r="N856">
        <f t="shared" si="69"/>
        <v>-3272.01</v>
      </c>
      <c r="O856" s="6">
        <v>0.1</v>
      </c>
      <c r="P856">
        <f t="shared" si="68"/>
        <v>946.63799999999992</v>
      </c>
    </row>
    <row r="857" spans="1:16" x14ac:dyDescent="0.25">
      <c r="A857" t="s">
        <v>893</v>
      </c>
      <c r="B857" s="1">
        <v>45944</v>
      </c>
      <c r="C857" t="s">
        <v>38</v>
      </c>
      <c r="D857" t="s">
        <v>35</v>
      </c>
      <c r="E857" t="s">
        <v>13</v>
      </c>
      <c r="F857" t="s">
        <v>42</v>
      </c>
      <c r="G857" t="s">
        <v>36</v>
      </c>
      <c r="H857">
        <v>71.95</v>
      </c>
      <c r="I857">
        <v>18</v>
      </c>
      <c r="J857">
        <v>1295.0999999999999</v>
      </c>
      <c r="K857" t="str">
        <f t="shared" si="65"/>
        <v>Oct</v>
      </c>
      <c r="L857" t="str">
        <f t="shared" si="66"/>
        <v>Low</v>
      </c>
      <c r="M857" t="str">
        <f t="shared" si="67"/>
        <v>Average</v>
      </c>
      <c r="N857">
        <f t="shared" si="69"/>
        <v>243.27999999999997</v>
      </c>
      <c r="O857" s="6">
        <v>0.1</v>
      </c>
      <c r="P857">
        <f t="shared" si="68"/>
        <v>1165.5899999999999</v>
      </c>
    </row>
    <row r="858" spans="1:16" x14ac:dyDescent="0.25">
      <c r="A858" t="s">
        <v>894</v>
      </c>
      <c r="B858" s="1">
        <v>46019</v>
      </c>
      <c r="C858" t="s">
        <v>17</v>
      </c>
      <c r="D858" t="s">
        <v>26</v>
      </c>
      <c r="E858" t="s">
        <v>27</v>
      </c>
      <c r="F858" t="s">
        <v>19</v>
      </c>
      <c r="G858" t="s">
        <v>20</v>
      </c>
      <c r="H858">
        <v>38.04</v>
      </c>
      <c r="I858">
        <v>13</v>
      </c>
      <c r="J858">
        <v>494.52</v>
      </c>
      <c r="K858" t="str">
        <f t="shared" si="65"/>
        <v>Dec</v>
      </c>
      <c r="L858" t="str">
        <f t="shared" si="66"/>
        <v>Low</v>
      </c>
      <c r="M858" t="str">
        <f t="shared" si="67"/>
        <v>Low</v>
      </c>
      <c r="N858">
        <f t="shared" si="69"/>
        <v>-800.57999999999993</v>
      </c>
      <c r="O858" s="6">
        <v>0.1</v>
      </c>
      <c r="P858">
        <f t="shared" si="68"/>
        <v>445.06799999999998</v>
      </c>
    </row>
    <row r="859" spans="1:16" x14ac:dyDescent="0.25">
      <c r="A859" t="s">
        <v>895</v>
      </c>
      <c r="B859" s="1">
        <v>45775</v>
      </c>
      <c r="C859" t="s">
        <v>17</v>
      </c>
      <c r="D859" t="s">
        <v>26</v>
      </c>
      <c r="E859" t="s">
        <v>45</v>
      </c>
      <c r="F859" t="s">
        <v>14</v>
      </c>
      <c r="G859" t="s">
        <v>20</v>
      </c>
      <c r="H859">
        <v>133.85</v>
      </c>
      <c r="I859">
        <v>15</v>
      </c>
      <c r="J859">
        <v>2007.75</v>
      </c>
      <c r="K859" t="str">
        <f t="shared" si="65"/>
        <v>Apr</v>
      </c>
      <c r="L859" t="str">
        <f t="shared" si="66"/>
        <v>High</v>
      </c>
      <c r="M859" t="str">
        <f t="shared" si="67"/>
        <v>Good</v>
      </c>
      <c r="N859">
        <f t="shared" si="69"/>
        <v>1513.23</v>
      </c>
      <c r="O859" s="6">
        <v>0.1</v>
      </c>
      <c r="P859">
        <f t="shared" si="68"/>
        <v>1806.9750000000001</v>
      </c>
    </row>
    <row r="860" spans="1:16" x14ac:dyDescent="0.25">
      <c r="A860" t="s">
        <v>896</v>
      </c>
      <c r="B860" s="1">
        <v>45863</v>
      </c>
      <c r="C860" t="s">
        <v>25</v>
      </c>
      <c r="D860" t="s">
        <v>55</v>
      </c>
      <c r="E860" t="s">
        <v>27</v>
      </c>
      <c r="F860" t="s">
        <v>28</v>
      </c>
      <c r="G860" t="s">
        <v>20</v>
      </c>
      <c r="H860">
        <v>154.27000000000001</v>
      </c>
      <c r="I860">
        <v>11</v>
      </c>
      <c r="J860">
        <v>1696.97</v>
      </c>
      <c r="K860" t="str">
        <f t="shared" si="65"/>
        <v>Jul</v>
      </c>
      <c r="L860" t="str">
        <f t="shared" si="66"/>
        <v>Low</v>
      </c>
      <c r="M860" t="str">
        <f t="shared" si="67"/>
        <v>Good</v>
      </c>
      <c r="N860">
        <f t="shared" si="69"/>
        <v>-310.77999999999997</v>
      </c>
      <c r="O860" s="6">
        <v>0.1</v>
      </c>
      <c r="P860">
        <f t="shared" si="68"/>
        <v>1527.2730000000001</v>
      </c>
    </row>
    <row r="861" spans="1:16" x14ac:dyDescent="0.25">
      <c r="A861" t="s">
        <v>897</v>
      </c>
      <c r="B861" s="1">
        <v>45684</v>
      </c>
      <c r="C861" t="s">
        <v>38</v>
      </c>
      <c r="D861" t="s">
        <v>12</v>
      </c>
      <c r="E861" t="s">
        <v>45</v>
      </c>
      <c r="F861" t="s">
        <v>39</v>
      </c>
      <c r="G861" t="s">
        <v>15</v>
      </c>
      <c r="H861">
        <v>44.46</v>
      </c>
      <c r="I861">
        <v>6</v>
      </c>
      <c r="J861">
        <v>266.76</v>
      </c>
      <c r="K861" t="str">
        <f t="shared" si="65"/>
        <v>Jan</v>
      </c>
      <c r="L861" t="str">
        <f t="shared" si="66"/>
        <v>Low</v>
      </c>
      <c r="M861" t="str">
        <f t="shared" si="67"/>
        <v>Low</v>
      </c>
      <c r="N861">
        <f t="shared" si="69"/>
        <v>-1430.21</v>
      </c>
      <c r="O861" s="6">
        <v>0.1</v>
      </c>
      <c r="P861">
        <f t="shared" si="68"/>
        <v>240.084</v>
      </c>
    </row>
    <row r="862" spans="1:16" x14ac:dyDescent="0.25">
      <c r="A862" t="s">
        <v>898</v>
      </c>
      <c r="B862" s="1">
        <v>45732</v>
      </c>
      <c r="C862" t="s">
        <v>25</v>
      </c>
      <c r="D862" t="s">
        <v>31</v>
      </c>
      <c r="E862" t="s">
        <v>45</v>
      </c>
      <c r="F862" t="s">
        <v>19</v>
      </c>
      <c r="G862" t="s">
        <v>36</v>
      </c>
      <c r="H862">
        <v>200.62</v>
      </c>
      <c r="I862">
        <v>16</v>
      </c>
      <c r="J862">
        <v>3209.92</v>
      </c>
      <c r="K862" t="str">
        <f t="shared" si="65"/>
        <v>Mar</v>
      </c>
      <c r="L862" t="str">
        <f t="shared" si="66"/>
        <v>High</v>
      </c>
      <c r="M862" t="str">
        <f t="shared" si="67"/>
        <v>Excellent</v>
      </c>
      <c r="N862">
        <f t="shared" si="69"/>
        <v>2943.16</v>
      </c>
      <c r="O862" s="6">
        <v>0.1</v>
      </c>
      <c r="P862">
        <f t="shared" si="68"/>
        <v>2888.9280000000003</v>
      </c>
    </row>
    <row r="863" spans="1:16" x14ac:dyDescent="0.25">
      <c r="A863" t="s">
        <v>899</v>
      </c>
      <c r="B863" s="1">
        <v>45771</v>
      </c>
      <c r="C863" t="s">
        <v>11</v>
      </c>
      <c r="D863" t="s">
        <v>55</v>
      </c>
      <c r="E863" t="s">
        <v>45</v>
      </c>
      <c r="F863" t="s">
        <v>28</v>
      </c>
      <c r="G863" t="s">
        <v>36</v>
      </c>
      <c r="H863">
        <v>129.72</v>
      </c>
      <c r="I863">
        <v>12</v>
      </c>
      <c r="J863">
        <v>1556.64</v>
      </c>
      <c r="K863" t="str">
        <f t="shared" si="65"/>
        <v>Apr</v>
      </c>
      <c r="L863" t="str">
        <f t="shared" si="66"/>
        <v>Low</v>
      </c>
      <c r="M863" t="str">
        <f t="shared" si="67"/>
        <v>Good</v>
      </c>
      <c r="N863">
        <f t="shared" si="69"/>
        <v>-1653.28</v>
      </c>
      <c r="O863" s="6">
        <v>0.1</v>
      </c>
      <c r="P863">
        <f t="shared" si="68"/>
        <v>1400.9760000000001</v>
      </c>
    </row>
    <row r="864" spans="1:16" x14ac:dyDescent="0.25">
      <c r="A864" t="s">
        <v>900</v>
      </c>
      <c r="B864" s="1">
        <v>45863</v>
      </c>
      <c r="C864" t="s">
        <v>17</v>
      </c>
      <c r="D864" t="s">
        <v>55</v>
      </c>
      <c r="E864" t="s">
        <v>13</v>
      </c>
      <c r="F864" t="s">
        <v>28</v>
      </c>
      <c r="G864" t="s">
        <v>20</v>
      </c>
      <c r="H864">
        <v>145.37</v>
      </c>
      <c r="I864">
        <v>20</v>
      </c>
      <c r="J864">
        <v>2907.4</v>
      </c>
      <c r="K864" t="str">
        <f t="shared" si="65"/>
        <v>Jul</v>
      </c>
      <c r="L864" t="str">
        <f t="shared" si="66"/>
        <v>High</v>
      </c>
      <c r="M864" t="str">
        <f t="shared" si="67"/>
        <v>Good</v>
      </c>
      <c r="N864">
        <f t="shared" si="69"/>
        <v>1350.76</v>
      </c>
      <c r="O864" s="6">
        <v>0.1</v>
      </c>
      <c r="P864">
        <f t="shared" si="68"/>
        <v>2616.6600000000003</v>
      </c>
    </row>
    <row r="865" spans="1:16" x14ac:dyDescent="0.25">
      <c r="A865" t="s">
        <v>901</v>
      </c>
      <c r="B865" s="1">
        <v>45687</v>
      </c>
      <c r="C865" t="s">
        <v>17</v>
      </c>
      <c r="D865" t="s">
        <v>31</v>
      </c>
      <c r="E865" t="s">
        <v>41</v>
      </c>
      <c r="F865" t="s">
        <v>19</v>
      </c>
      <c r="G865" t="s">
        <v>15</v>
      </c>
      <c r="H865">
        <v>126.97</v>
      </c>
      <c r="I865">
        <v>6</v>
      </c>
      <c r="J865">
        <v>761.82</v>
      </c>
      <c r="K865" t="str">
        <f t="shared" si="65"/>
        <v>Jan</v>
      </c>
      <c r="L865" t="str">
        <f t="shared" si="66"/>
        <v>Low</v>
      </c>
      <c r="M865" t="str">
        <f t="shared" si="67"/>
        <v>Average</v>
      </c>
      <c r="N865">
        <f t="shared" si="69"/>
        <v>-2145.58</v>
      </c>
      <c r="O865" s="6">
        <v>0.1</v>
      </c>
      <c r="P865">
        <f t="shared" si="68"/>
        <v>685.63800000000003</v>
      </c>
    </row>
    <row r="866" spans="1:16" x14ac:dyDescent="0.25">
      <c r="A866" t="s">
        <v>902</v>
      </c>
      <c r="B866" s="1">
        <v>45994</v>
      </c>
      <c r="C866" t="s">
        <v>34</v>
      </c>
      <c r="D866" t="s">
        <v>26</v>
      </c>
      <c r="E866" t="s">
        <v>45</v>
      </c>
      <c r="F866" t="s">
        <v>39</v>
      </c>
      <c r="G866" t="s">
        <v>20</v>
      </c>
      <c r="H866">
        <v>118.17</v>
      </c>
      <c r="I866">
        <v>17</v>
      </c>
      <c r="J866">
        <v>2008.89</v>
      </c>
      <c r="K866" t="str">
        <f t="shared" si="65"/>
        <v>Dec</v>
      </c>
      <c r="L866" t="str">
        <f t="shared" si="66"/>
        <v>High</v>
      </c>
      <c r="M866" t="str">
        <f t="shared" si="67"/>
        <v>Good</v>
      </c>
      <c r="N866">
        <f t="shared" si="69"/>
        <v>1247.0700000000002</v>
      </c>
      <c r="O866" s="6">
        <v>0.1</v>
      </c>
      <c r="P866">
        <f t="shared" si="68"/>
        <v>1808.0010000000002</v>
      </c>
    </row>
    <row r="867" spans="1:16" x14ac:dyDescent="0.25">
      <c r="A867" t="s">
        <v>903</v>
      </c>
      <c r="B867" s="1">
        <v>45919</v>
      </c>
      <c r="C867" t="s">
        <v>17</v>
      </c>
      <c r="D867" t="s">
        <v>26</v>
      </c>
      <c r="E867" t="s">
        <v>18</v>
      </c>
      <c r="F867" t="s">
        <v>14</v>
      </c>
      <c r="G867" t="s">
        <v>20</v>
      </c>
      <c r="H867">
        <v>153.12</v>
      </c>
      <c r="I867">
        <v>17</v>
      </c>
      <c r="J867">
        <v>2603.04</v>
      </c>
      <c r="K867" t="str">
        <f t="shared" si="65"/>
        <v>Sep</v>
      </c>
      <c r="L867" t="str">
        <f t="shared" si="66"/>
        <v>High</v>
      </c>
      <c r="M867" t="str">
        <f t="shared" si="67"/>
        <v>Good</v>
      </c>
      <c r="N867">
        <f t="shared" si="69"/>
        <v>594.14999999999986</v>
      </c>
      <c r="O867" s="6">
        <v>0.1</v>
      </c>
      <c r="P867">
        <f t="shared" si="68"/>
        <v>2342.7359999999999</v>
      </c>
    </row>
    <row r="868" spans="1:16" x14ac:dyDescent="0.25">
      <c r="A868" t="s">
        <v>904</v>
      </c>
      <c r="B868" s="1">
        <v>45676</v>
      </c>
      <c r="C868" t="s">
        <v>30</v>
      </c>
      <c r="D868" t="s">
        <v>12</v>
      </c>
      <c r="E868" t="s">
        <v>45</v>
      </c>
      <c r="F868" t="s">
        <v>14</v>
      </c>
      <c r="G868" t="s">
        <v>15</v>
      </c>
      <c r="H868">
        <v>64.150000000000006</v>
      </c>
      <c r="I868">
        <v>12</v>
      </c>
      <c r="J868">
        <v>769.8</v>
      </c>
      <c r="K868" t="str">
        <f t="shared" si="65"/>
        <v>Jan</v>
      </c>
      <c r="L868" t="str">
        <f t="shared" si="66"/>
        <v>Low</v>
      </c>
      <c r="M868" t="str">
        <f t="shared" si="67"/>
        <v>Average</v>
      </c>
      <c r="N868">
        <f t="shared" si="69"/>
        <v>-1833.24</v>
      </c>
      <c r="O868" s="6">
        <v>0.1</v>
      </c>
      <c r="P868">
        <f t="shared" si="68"/>
        <v>692.81999999999994</v>
      </c>
    </row>
    <row r="869" spans="1:16" x14ac:dyDescent="0.25">
      <c r="A869" t="s">
        <v>905</v>
      </c>
      <c r="B869" s="1">
        <v>45799</v>
      </c>
      <c r="C869" t="s">
        <v>34</v>
      </c>
      <c r="D869" t="s">
        <v>12</v>
      </c>
      <c r="E869" t="s">
        <v>41</v>
      </c>
      <c r="F869" t="s">
        <v>61</v>
      </c>
      <c r="G869" t="s">
        <v>20</v>
      </c>
      <c r="H869">
        <v>70.02</v>
      </c>
      <c r="I869">
        <v>13</v>
      </c>
      <c r="J869">
        <v>910.26</v>
      </c>
      <c r="K869" t="str">
        <f t="shared" si="65"/>
        <v>May</v>
      </c>
      <c r="L869" t="str">
        <f t="shared" si="66"/>
        <v>Low</v>
      </c>
      <c r="M869" t="str">
        <f t="shared" si="67"/>
        <v>Average</v>
      </c>
      <c r="N869">
        <f t="shared" si="69"/>
        <v>140.46000000000004</v>
      </c>
      <c r="O869" s="6">
        <v>0.1</v>
      </c>
      <c r="P869">
        <f t="shared" si="68"/>
        <v>819.23400000000004</v>
      </c>
    </row>
    <row r="870" spans="1:16" x14ac:dyDescent="0.25">
      <c r="A870" t="s">
        <v>906</v>
      </c>
      <c r="B870" s="1">
        <v>45760</v>
      </c>
      <c r="C870" t="s">
        <v>11</v>
      </c>
      <c r="D870" t="s">
        <v>12</v>
      </c>
      <c r="E870" t="s">
        <v>27</v>
      </c>
      <c r="F870" t="s">
        <v>19</v>
      </c>
      <c r="G870" t="s">
        <v>15</v>
      </c>
      <c r="H870">
        <v>219.59</v>
      </c>
      <c r="I870">
        <v>17</v>
      </c>
      <c r="J870">
        <v>3733.03</v>
      </c>
      <c r="K870" t="str">
        <f t="shared" si="65"/>
        <v>Apr</v>
      </c>
      <c r="L870" t="str">
        <f t="shared" si="66"/>
        <v>High</v>
      </c>
      <c r="M870" t="str">
        <f t="shared" si="67"/>
        <v>Excellent</v>
      </c>
      <c r="N870">
        <f t="shared" si="69"/>
        <v>2822.7700000000004</v>
      </c>
      <c r="O870" s="6">
        <v>0.1</v>
      </c>
      <c r="P870">
        <f t="shared" si="68"/>
        <v>3359.7270000000003</v>
      </c>
    </row>
    <row r="871" spans="1:16" x14ac:dyDescent="0.25">
      <c r="A871" t="s">
        <v>907</v>
      </c>
      <c r="B871" s="1">
        <v>45939</v>
      </c>
      <c r="C871" t="s">
        <v>17</v>
      </c>
      <c r="D871" t="s">
        <v>55</v>
      </c>
      <c r="E871" t="s">
        <v>18</v>
      </c>
      <c r="F871" t="s">
        <v>32</v>
      </c>
      <c r="G871" t="s">
        <v>36</v>
      </c>
      <c r="H871">
        <v>238.15</v>
      </c>
      <c r="I871">
        <v>10</v>
      </c>
      <c r="J871">
        <v>2381.5</v>
      </c>
      <c r="K871" t="str">
        <f t="shared" si="65"/>
        <v>Oct</v>
      </c>
      <c r="L871" t="str">
        <f t="shared" si="66"/>
        <v>High</v>
      </c>
      <c r="M871" t="str">
        <f t="shared" si="67"/>
        <v>Good</v>
      </c>
      <c r="N871">
        <f t="shared" si="69"/>
        <v>-1351.5300000000002</v>
      </c>
      <c r="O871" s="6">
        <v>0.1</v>
      </c>
      <c r="P871">
        <f t="shared" si="68"/>
        <v>2143.35</v>
      </c>
    </row>
    <row r="872" spans="1:16" x14ac:dyDescent="0.25">
      <c r="A872" t="s">
        <v>908</v>
      </c>
      <c r="B872" s="1">
        <v>45799</v>
      </c>
      <c r="C872" t="s">
        <v>25</v>
      </c>
      <c r="D872" t="s">
        <v>26</v>
      </c>
      <c r="E872" t="s">
        <v>41</v>
      </c>
      <c r="F872" t="s">
        <v>61</v>
      </c>
      <c r="G872" t="s">
        <v>20</v>
      </c>
      <c r="H872">
        <v>112.13</v>
      </c>
      <c r="I872">
        <v>8</v>
      </c>
      <c r="J872">
        <v>897.04</v>
      </c>
      <c r="K872" t="str">
        <f t="shared" si="65"/>
        <v>May</v>
      </c>
      <c r="L872" t="str">
        <f t="shared" si="66"/>
        <v>Low</v>
      </c>
      <c r="M872" t="str">
        <f t="shared" si="67"/>
        <v>Average</v>
      </c>
      <c r="N872">
        <f t="shared" si="69"/>
        <v>-1484.46</v>
      </c>
      <c r="O872" s="6">
        <v>0.1</v>
      </c>
      <c r="P872">
        <f t="shared" si="68"/>
        <v>807.33600000000001</v>
      </c>
    </row>
    <row r="873" spans="1:16" x14ac:dyDescent="0.25">
      <c r="A873" t="s">
        <v>909</v>
      </c>
      <c r="B873" s="1">
        <v>45660</v>
      </c>
      <c r="C873" t="s">
        <v>30</v>
      </c>
      <c r="D873" t="s">
        <v>31</v>
      </c>
      <c r="E873" t="s">
        <v>18</v>
      </c>
      <c r="F873" t="s">
        <v>19</v>
      </c>
      <c r="G873" t="s">
        <v>20</v>
      </c>
      <c r="H873">
        <v>89.56</v>
      </c>
      <c r="I873">
        <v>9</v>
      </c>
      <c r="J873">
        <v>806.04</v>
      </c>
      <c r="K873" t="str">
        <f t="shared" si="65"/>
        <v>Jan</v>
      </c>
      <c r="L873" t="str">
        <f t="shared" si="66"/>
        <v>Low</v>
      </c>
      <c r="M873" t="str">
        <f t="shared" si="67"/>
        <v>Average</v>
      </c>
      <c r="N873">
        <f t="shared" si="69"/>
        <v>-91</v>
      </c>
      <c r="O873" s="6">
        <v>0.1</v>
      </c>
      <c r="P873">
        <f t="shared" si="68"/>
        <v>725.43600000000004</v>
      </c>
    </row>
    <row r="874" spans="1:16" x14ac:dyDescent="0.25">
      <c r="A874" t="s">
        <v>910</v>
      </c>
      <c r="B874" s="1">
        <v>45695</v>
      </c>
      <c r="C874" t="s">
        <v>34</v>
      </c>
      <c r="D874" t="s">
        <v>35</v>
      </c>
      <c r="E874" t="s">
        <v>45</v>
      </c>
      <c r="F874" t="s">
        <v>39</v>
      </c>
      <c r="G874" t="s">
        <v>20</v>
      </c>
      <c r="H874">
        <v>171.68</v>
      </c>
      <c r="I874">
        <v>17</v>
      </c>
      <c r="J874">
        <v>2918.56</v>
      </c>
      <c r="K874" t="str">
        <f t="shared" si="65"/>
        <v>Feb</v>
      </c>
      <c r="L874" t="str">
        <f t="shared" si="66"/>
        <v>High</v>
      </c>
      <c r="M874" t="str">
        <f t="shared" si="67"/>
        <v>Good</v>
      </c>
      <c r="N874">
        <f t="shared" si="69"/>
        <v>2112.52</v>
      </c>
      <c r="O874" s="6">
        <v>0.1</v>
      </c>
      <c r="P874">
        <f t="shared" si="68"/>
        <v>2626.7040000000002</v>
      </c>
    </row>
    <row r="875" spans="1:16" x14ac:dyDescent="0.25">
      <c r="A875" t="s">
        <v>911</v>
      </c>
      <c r="B875" s="1">
        <v>45789</v>
      </c>
      <c r="C875" t="s">
        <v>25</v>
      </c>
      <c r="D875" t="s">
        <v>35</v>
      </c>
      <c r="E875" t="s">
        <v>27</v>
      </c>
      <c r="F875" t="s">
        <v>61</v>
      </c>
      <c r="G875" t="s">
        <v>36</v>
      </c>
      <c r="H875">
        <v>119.92</v>
      </c>
      <c r="I875">
        <v>18</v>
      </c>
      <c r="J875">
        <v>2158.56</v>
      </c>
      <c r="K875" t="str">
        <f t="shared" si="65"/>
        <v>May</v>
      </c>
      <c r="L875" t="str">
        <f t="shared" si="66"/>
        <v>High</v>
      </c>
      <c r="M875" t="str">
        <f t="shared" si="67"/>
        <v>Good</v>
      </c>
      <c r="N875">
        <f t="shared" si="69"/>
        <v>-760</v>
      </c>
      <c r="O875" s="6">
        <v>0.1</v>
      </c>
      <c r="P875">
        <f t="shared" si="68"/>
        <v>1942.704</v>
      </c>
    </row>
    <row r="876" spans="1:16" x14ac:dyDescent="0.25">
      <c r="A876" t="s">
        <v>912</v>
      </c>
      <c r="B876" s="1">
        <v>45946</v>
      </c>
      <c r="C876" t="s">
        <v>30</v>
      </c>
      <c r="D876" t="s">
        <v>35</v>
      </c>
      <c r="E876" t="s">
        <v>41</v>
      </c>
      <c r="F876" t="s">
        <v>28</v>
      </c>
      <c r="G876" t="s">
        <v>36</v>
      </c>
      <c r="H876">
        <v>35.58</v>
      </c>
      <c r="I876">
        <v>16</v>
      </c>
      <c r="J876">
        <v>569.28</v>
      </c>
      <c r="K876" t="str">
        <f t="shared" si="65"/>
        <v>Oct</v>
      </c>
      <c r="L876" t="str">
        <f t="shared" si="66"/>
        <v>Low</v>
      </c>
      <c r="M876" t="str">
        <f t="shared" si="67"/>
        <v>Average</v>
      </c>
      <c r="N876">
        <f t="shared" si="69"/>
        <v>-1589.28</v>
      </c>
      <c r="O876" s="6">
        <v>0.1</v>
      </c>
      <c r="P876">
        <f t="shared" si="68"/>
        <v>512.35199999999998</v>
      </c>
    </row>
    <row r="877" spans="1:16" x14ac:dyDescent="0.25">
      <c r="A877" t="s">
        <v>913</v>
      </c>
      <c r="B877" s="1">
        <v>45958</v>
      </c>
      <c r="C877" t="s">
        <v>38</v>
      </c>
      <c r="D877" t="s">
        <v>22</v>
      </c>
      <c r="E877" t="s">
        <v>13</v>
      </c>
      <c r="F877" t="s">
        <v>19</v>
      </c>
      <c r="G877" t="s">
        <v>36</v>
      </c>
      <c r="H877">
        <v>64.349999999999994</v>
      </c>
      <c r="I877">
        <v>1</v>
      </c>
      <c r="J877">
        <v>64.349999999999994</v>
      </c>
      <c r="K877" t="str">
        <f t="shared" si="65"/>
        <v>Oct</v>
      </c>
      <c r="L877" t="str">
        <f t="shared" si="66"/>
        <v>Low</v>
      </c>
      <c r="M877" t="str">
        <f t="shared" si="67"/>
        <v>Low</v>
      </c>
      <c r="N877">
        <f t="shared" si="69"/>
        <v>-504.92999999999995</v>
      </c>
      <c r="O877" s="6">
        <v>0.1</v>
      </c>
      <c r="P877">
        <f t="shared" si="68"/>
        <v>57.914999999999999</v>
      </c>
    </row>
    <row r="878" spans="1:16" x14ac:dyDescent="0.25">
      <c r="A878" t="s">
        <v>914</v>
      </c>
      <c r="B878" s="1">
        <v>45982</v>
      </c>
      <c r="C878" t="s">
        <v>17</v>
      </c>
      <c r="D878" t="s">
        <v>12</v>
      </c>
      <c r="E878" t="s">
        <v>23</v>
      </c>
      <c r="F878" t="s">
        <v>39</v>
      </c>
      <c r="G878" t="s">
        <v>36</v>
      </c>
      <c r="H878">
        <v>187.51</v>
      </c>
      <c r="I878">
        <v>8</v>
      </c>
      <c r="J878">
        <v>1500.08</v>
      </c>
      <c r="K878" t="str">
        <f t="shared" si="65"/>
        <v>Nov</v>
      </c>
      <c r="L878" t="str">
        <f t="shared" si="66"/>
        <v>Low</v>
      </c>
      <c r="M878" t="str">
        <f t="shared" si="67"/>
        <v>Good</v>
      </c>
      <c r="N878">
        <f t="shared" si="69"/>
        <v>1435.73</v>
      </c>
      <c r="O878" s="6">
        <v>0.1</v>
      </c>
      <c r="P878">
        <f t="shared" si="68"/>
        <v>1350.0719999999999</v>
      </c>
    </row>
    <row r="879" spans="1:16" x14ac:dyDescent="0.25">
      <c r="A879" t="s">
        <v>915</v>
      </c>
      <c r="B879" s="1">
        <v>45869</v>
      </c>
      <c r="C879" t="s">
        <v>25</v>
      </c>
      <c r="D879" t="s">
        <v>55</v>
      </c>
      <c r="E879" t="s">
        <v>45</v>
      </c>
      <c r="F879" t="s">
        <v>28</v>
      </c>
      <c r="G879" t="s">
        <v>36</v>
      </c>
      <c r="H879">
        <v>174.96</v>
      </c>
      <c r="I879">
        <v>12</v>
      </c>
      <c r="J879">
        <v>2099.52</v>
      </c>
      <c r="K879" t="str">
        <f t="shared" si="65"/>
        <v>Jul</v>
      </c>
      <c r="L879" t="str">
        <f t="shared" si="66"/>
        <v>High</v>
      </c>
      <c r="M879" t="str">
        <f t="shared" si="67"/>
        <v>Good</v>
      </c>
      <c r="N879">
        <f t="shared" si="69"/>
        <v>599.44000000000005</v>
      </c>
      <c r="O879" s="6">
        <v>0.1</v>
      </c>
      <c r="P879">
        <f t="shared" si="68"/>
        <v>1889.568</v>
      </c>
    </row>
    <row r="880" spans="1:16" x14ac:dyDescent="0.25">
      <c r="A880" t="s">
        <v>916</v>
      </c>
      <c r="B880" s="1">
        <v>45785</v>
      </c>
      <c r="C880" t="s">
        <v>11</v>
      </c>
      <c r="D880" t="s">
        <v>31</v>
      </c>
      <c r="E880" t="s">
        <v>27</v>
      </c>
      <c r="F880" t="s">
        <v>28</v>
      </c>
      <c r="G880" t="s">
        <v>36</v>
      </c>
      <c r="H880">
        <v>35.96</v>
      </c>
      <c r="I880">
        <v>10</v>
      </c>
      <c r="J880">
        <v>359.6</v>
      </c>
      <c r="K880" t="str">
        <f t="shared" si="65"/>
        <v>May</v>
      </c>
      <c r="L880" t="str">
        <f t="shared" si="66"/>
        <v>Low</v>
      </c>
      <c r="M880" t="str">
        <f t="shared" si="67"/>
        <v>Low</v>
      </c>
      <c r="N880">
        <f t="shared" si="69"/>
        <v>-1739.92</v>
      </c>
      <c r="O880" s="6">
        <v>0.1</v>
      </c>
      <c r="P880">
        <f t="shared" si="68"/>
        <v>323.64000000000004</v>
      </c>
    </row>
    <row r="881" spans="1:16" x14ac:dyDescent="0.25">
      <c r="A881" t="s">
        <v>917</v>
      </c>
      <c r="B881" s="1">
        <v>45696</v>
      </c>
      <c r="C881" t="s">
        <v>30</v>
      </c>
      <c r="D881" t="s">
        <v>31</v>
      </c>
      <c r="E881" t="s">
        <v>13</v>
      </c>
      <c r="F881" t="s">
        <v>32</v>
      </c>
      <c r="G881" t="s">
        <v>15</v>
      </c>
      <c r="H881">
        <v>78.83</v>
      </c>
      <c r="I881">
        <v>18</v>
      </c>
      <c r="J881">
        <v>1418.94</v>
      </c>
      <c r="K881" t="str">
        <f t="shared" si="65"/>
        <v>Feb</v>
      </c>
      <c r="L881" t="str">
        <f t="shared" si="66"/>
        <v>Low</v>
      </c>
      <c r="M881" t="str">
        <f t="shared" si="67"/>
        <v>Average</v>
      </c>
      <c r="N881">
        <f t="shared" si="69"/>
        <v>1059.3400000000001</v>
      </c>
      <c r="O881" s="6">
        <v>0.1</v>
      </c>
      <c r="P881">
        <f t="shared" si="68"/>
        <v>1277.046</v>
      </c>
    </row>
    <row r="882" spans="1:16" x14ac:dyDescent="0.25">
      <c r="A882" t="s">
        <v>918</v>
      </c>
      <c r="B882" s="1">
        <v>45951</v>
      </c>
      <c r="C882" t="s">
        <v>30</v>
      </c>
      <c r="D882" t="s">
        <v>12</v>
      </c>
      <c r="E882" t="s">
        <v>27</v>
      </c>
      <c r="F882" t="s">
        <v>14</v>
      </c>
      <c r="G882" t="s">
        <v>36</v>
      </c>
      <c r="H882">
        <v>80.84</v>
      </c>
      <c r="I882">
        <v>9</v>
      </c>
      <c r="J882">
        <v>727.56</v>
      </c>
      <c r="K882" t="str">
        <f t="shared" si="65"/>
        <v>Oct</v>
      </c>
      <c r="L882" t="str">
        <f t="shared" si="66"/>
        <v>Low</v>
      </c>
      <c r="M882" t="str">
        <f t="shared" si="67"/>
        <v>Average</v>
      </c>
      <c r="N882">
        <f t="shared" si="69"/>
        <v>-691.38000000000011</v>
      </c>
      <c r="O882" s="6">
        <v>0.1</v>
      </c>
      <c r="P882">
        <f t="shared" si="68"/>
        <v>654.80399999999997</v>
      </c>
    </row>
    <row r="883" spans="1:16" x14ac:dyDescent="0.25">
      <c r="A883" t="s">
        <v>919</v>
      </c>
      <c r="B883" s="1">
        <v>45760</v>
      </c>
      <c r="C883" t="s">
        <v>17</v>
      </c>
      <c r="D883" t="s">
        <v>26</v>
      </c>
      <c r="E883" t="s">
        <v>13</v>
      </c>
      <c r="F883" t="s">
        <v>14</v>
      </c>
      <c r="G883" t="s">
        <v>15</v>
      </c>
      <c r="H883">
        <v>177.82</v>
      </c>
      <c r="I883">
        <v>8</v>
      </c>
      <c r="J883">
        <v>1422.56</v>
      </c>
      <c r="K883" t="str">
        <f t="shared" si="65"/>
        <v>Apr</v>
      </c>
      <c r="L883" t="str">
        <f t="shared" si="66"/>
        <v>Low</v>
      </c>
      <c r="M883" t="str">
        <f t="shared" si="67"/>
        <v>Average</v>
      </c>
      <c r="N883">
        <f t="shared" si="69"/>
        <v>695</v>
      </c>
      <c r="O883" s="6">
        <v>0.1</v>
      </c>
      <c r="P883">
        <f t="shared" si="68"/>
        <v>1280.3040000000001</v>
      </c>
    </row>
    <row r="884" spans="1:16" x14ac:dyDescent="0.25">
      <c r="A884" t="s">
        <v>920</v>
      </c>
      <c r="B884" s="1">
        <v>45761</v>
      </c>
      <c r="C884" t="s">
        <v>25</v>
      </c>
      <c r="D884" t="s">
        <v>35</v>
      </c>
      <c r="E884" t="s">
        <v>23</v>
      </c>
      <c r="F884" t="s">
        <v>39</v>
      </c>
      <c r="G884" t="s">
        <v>15</v>
      </c>
      <c r="H884">
        <v>34.340000000000003</v>
      </c>
      <c r="I884">
        <v>8</v>
      </c>
      <c r="J884">
        <v>274.72000000000003</v>
      </c>
      <c r="K884" t="str">
        <f t="shared" si="65"/>
        <v>Apr</v>
      </c>
      <c r="L884" t="str">
        <f t="shared" si="66"/>
        <v>Low</v>
      </c>
      <c r="M884" t="str">
        <f t="shared" si="67"/>
        <v>Low</v>
      </c>
      <c r="N884">
        <f t="shared" si="69"/>
        <v>-1147.8399999999999</v>
      </c>
      <c r="O884" s="6">
        <v>0.1</v>
      </c>
      <c r="P884">
        <f t="shared" si="68"/>
        <v>247.24800000000002</v>
      </c>
    </row>
    <row r="885" spans="1:16" x14ac:dyDescent="0.25">
      <c r="A885" t="s">
        <v>921</v>
      </c>
      <c r="B885" s="1">
        <v>45719</v>
      </c>
      <c r="C885" t="s">
        <v>17</v>
      </c>
      <c r="D885" t="s">
        <v>12</v>
      </c>
      <c r="E885" t="s">
        <v>41</v>
      </c>
      <c r="F885" t="s">
        <v>42</v>
      </c>
      <c r="G885" t="s">
        <v>15</v>
      </c>
      <c r="H885">
        <v>52.9</v>
      </c>
      <c r="I885">
        <v>3</v>
      </c>
      <c r="J885">
        <v>158.69999999999999</v>
      </c>
      <c r="K885" t="str">
        <f t="shared" si="65"/>
        <v>Mar</v>
      </c>
      <c r="L885" t="str">
        <f t="shared" si="66"/>
        <v>Low</v>
      </c>
      <c r="M885" t="str">
        <f t="shared" si="67"/>
        <v>Low</v>
      </c>
      <c r="N885">
        <f t="shared" si="69"/>
        <v>-116.02000000000004</v>
      </c>
      <c r="O885" s="6">
        <v>0.1</v>
      </c>
      <c r="P885">
        <f t="shared" si="68"/>
        <v>142.82999999999998</v>
      </c>
    </row>
    <row r="886" spans="1:16" x14ac:dyDescent="0.25">
      <c r="A886" t="s">
        <v>922</v>
      </c>
      <c r="B886" s="1">
        <v>45935</v>
      </c>
      <c r="C886" t="s">
        <v>38</v>
      </c>
      <c r="D886" t="s">
        <v>35</v>
      </c>
      <c r="E886" t="s">
        <v>18</v>
      </c>
      <c r="F886" t="s">
        <v>32</v>
      </c>
      <c r="G886" t="s">
        <v>36</v>
      </c>
      <c r="H886">
        <v>205.98</v>
      </c>
      <c r="I886">
        <v>2</v>
      </c>
      <c r="J886">
        <v>411.96</v>
      </c>
      <c r="K886" t="str">
        <f t="shared" si="65"/>
        <v>Oct</v>
      </c>
      <c r="L886" t="str">
        <f t="shared" si="66"/>
        <v>Low</v>
      </c>
      <c r="M886" t="str">
        <f t="shared" si="67"/>
        <v>Low</v>
      </c>
      <c r="N886">
        <f t="shared" si="69"/>
        <v>253.26</v>
      </c>
      <c r="O886" s="6">
        <v>0.1</v>
      </c>
      <c r="P886">
        <f t="shared" si="68"/>
        <v>370.76400000000001</v>
      </c>
    </row>
    <row r="887" spans="1:16" x14ac:dyDescent="0.25">
      <c r="A887" t="s">
        <v>923</v>
      </c>
      <c r="B887" s="1">
        <v>45952</v>
      </c>
      <c r="C887" t="s">
        <v>38</v>
      </c>
      <c r="D887" t="s">
        <v>26</v>
      </c>
      <c r="E887" t="s">
        <v>18</v>
      </c>
      <c r="F887" t="s">
        <v>32</v>
      </c>
      <c r="G887" t="s">
        <v>36</v>
      </c>
      <c r="H887">
        <v>69.28</v>
      </c>
      <c r="I887">
        <v>9</v>
      </c>
      <c r="J887">
        <v>623.52</v>
      </c>
      <c r="K887" t="str">
        <f t="shared" si="65"/>
        <v>Oct</v>
      </c>
      <c r="L887" t="str">
        <f t="shared" si="66"/>
        <v>Low</v>
      </c>
      <c r="M887" t="str">
        <f t="shared" si="67"/>
        <v>Average</v>
      </c>
      <c r="N887">
        <f t="shared" si="69"/>
        <v>211.56</v>
      </c>
      <c r="O887" s="6">
        <v>0.1</v>
      </c>
      <c r="P887">
        <f t="shared" si="68"/>
        <v>561.16800000000001</v>
      </c>
    </row>
    <row r="888" spans="1:16" x14ac:dyDescent="0.25">
      <c r="A888" t="s">
        <v>924</v>
      </c>
      <c r="B888" s="1">
        <v>45771</v>
      </c>
      <c r="C888" t="s">
        <v>30</v>
      </c>
      <c r="D888" t="s">
        <v>22</v>
      </c>
      <c r="E888" t="s">
        <v>18</v>
      </c>
      <c r="F888" t="s">
        <v>39</v>
      </c>
      <c r="G888" t="s">
        <v>36</v>
      </c>
      <c r="H888">
        <v>173.6</v>
      </c>
      <c r="I888">
        <v>19</v>
      </c>
      <c r="J888">
        <v>3298.4</v>
      </c>
      <c r="K888" t="str">
        <f t="shared" si="65"/>
        <v>Apr</v>
      </c>
      <c r="L888" t="str">
        <f t="shared" si="66"/>
        <v>High</v>
      </c>
      <c r="M888" t="str">
        <f t="shared" si="67"/>
        <v>Excellent</v>
      </c>
      <c r="N888">
        <f t="shared" si="69"/>
        <v>2674.88</v>
      </c>
      <c r="O888" s="6">
        <v>0.1</v>
      </c>
      <c r="P888">
        <f t="shared" si="68"/>
        <v>2968.56</v>
      </c>
    </row>
    <row r="889" spans="1:16" x14ac:dyDescent="0.25">
      <c r="A889" t="s">
        <v>925</v>
      </c>
      <c r="B889" s="1">
        <v>45902</v>
      </c>
      <c r="C889" t="s">
        <v>11</v>
      </c>
      <c r="D889" t="s">
        <v>55</v>
      </c>
      <c r="E889" t="s">
        <v>13</v>
      </c>
      <c r="F889" t="s">
        <v>61</v>
      </c>
      <c r="G889" t="s">
        <v>20</v>
      </c>
      <c r="H889">
        <v>82.4</v>
      </c>
      <c r="I889">
        <v>18</v>
      </c>
      <c r="J889">
        <v>1483.2</v>
      </c>
      <c r="K889" t="str">
        <f t="shared" si="65"/>
        <v>Sep</v>
      </c>
      <c r="L889" t="str">
        <f t="shared" si="66"/>
        <v>Low</v>
      </c>
      <c r="M889" t="str">
        <f t="shared" si="67"/>
        <v>Average</v>
      </c>
      <c r="N889">
        <f t="shared" si="69"/>
        <v>-1815.2</v>
      </c>
      <c r="O889" s="6">
        <v>0.1</v>
      </c>
      <c r="P889">
        <f t="shared" si="68"/>
        <v>1334.88</v>
      </c>
    </row>
    <row r="890" spans="1:16" x14ac:dyDescent="0.25">
      <c r="A890" t="s">
        <v>926</v>
      </c>
      <c r="B890" s="1">
        <v>45747</v>
      </c>
      <c r="C890" t="s">
        <v>11</v>
      </c>
      <c r="D890" t="s">
        <v>12</v>
      </c>
      <c r="E890" t="s">
        <v>18</v>
      </c>
      <c r="F890" t="s">
        <v>61</v>
      </c>
      <c r="G890" t="s">
        <v>36</v>
      </c>
      <c r="H890">
        <v>51.88</v>
      </c>
      <c r="I890">
        <v>15</v>
      </c>
      <c r="J890">
        <v>778.2</v>
      </c>
      <c r="K890" t="str">
        <f t="shared" si="65"/>
        <v>Mar</v>
      </c>
      <c r="L890" t="str">
        <f t="shared" si="66"/>
        <v>Low</v>
      </c>
      <c r="M890" t="str">
        <f t="shared" si="67"/>
        <v>Average</v>
      </c>
      <c r="N890">
        <f t="shared" si="69"/>
        <v>-705</v>
      </c>
      <c r="O890" s="6">
        <v>0.1</v>
      </c>
      <c r="P890">
        <f t="shared" si="68"/>
        <v>700.38000000000011</v>
      </c>
    </row>
    <row r="891" spans="1:16" x14ac:dyDescent="0.25">
      <c r="A891" t="s">
        <v>927</v>
      </c>
      <c r="B891" s="1">
        <v>46010</v>
      </c>
      <c r="C891" t="s">
        <v>11</v>
      </c>
      <c r="D891" t="s">
        <v>12</v>
      </c>
      <c r="E891" t="s">
        <v>23</v>
      </c>
      <c r="F891" t="s">
        <v>61</v>
      </c>
      <c r="G891" t="s">
        <v>20</v>
      </c>
      <c r="H891">
        <v>83.5</v>
      </c>
      <c r="I891">
        <v>1</v>
      </c>
      <c r="J891">
        <v>83.5</v>
      </c>
      <c r="K891" t="str">
        <f t="shared" si="65"/>
        <v>Dec</v>
      </c>
      <c r="L891" t="str">
        <f t="shared" si="66"/>
        <v>Low</v>
      </c>
      <c r="M891" t="str">
        <f t="shared" si="67"/>
        <v>Low</v>
      </c>
      <c r="N891">
        <f t="shared" si="69"/>
        <v>-694.7</v>
      </c>
      <c r="O891" s="6">
        <v>0.1</v>
      </c>
      <c r="P891">
        <f t="shared" si="68"/>
        <v>75.150000000000006</v>
      </c>
    </row>
    <row r="892" spans="1:16" x14ac:dyDescent="0.25">
      <c r="A892" t="s">
        <v>928</v>
      </c>
      <c r="B892" s="1">
        <v>45709</v>
      </c>
      <c r="C892" t="s">
        <v>34</v>
      </c>
      <c r="D892" t="s">
        <v>55</v>
      </c>
      <c r="E892" t="s">
        <v>13</v>
      </c>
      <c r="F892" t="s">
        <v>14</v>
      </c>
      <c r="G892" t="s">
        <v>20</v>
      </c>
      <c r="H892">
        <v>188.9</v>
      </c>
      <c r="I892">
        <v>11</v>
      </c>
      <c r="J892">
        <v>2077.9</v>
      </c>
      <c r="K892" t="str">
        <f t="shared" si="65"/>
        <v>Feb</v>
      </c>
      <c r="L892" t="str">
        <f t="shared" si="66"/>
        <v>High</v>
      </c>
      <c r="M892" t="str">
        <f t="shared" si="67"/>
        <v>Good</v>
      </c>
      <c r="N892">
        <f t="shared" si="69"/>
        <v>1994.4</v>
      </c>
      <c r="O892" s="6">
        <v>0.1</v>
      </c>
      <c r="P892">
        <f t="shared" si="68"/>
        <v>1870.1100000000001</v>
      </c>
    </row>
    <row r="893" spans="1:16" x14ac:dyDescent="0.25">
      <c r="A893" t="s">
        <v>929</v>
      </c>
      <c r="B893" s="1">
        <v>45792</v>
      </c>
      <c r="C893" t="s">
        <v>34</v>
      </c>
      <c r="D893" t="s">
        <v>31</v>
      </c>
      <c r="E893" t="s">
        <v>18</v>
      </c>
      <c r="F893" t="s">
        <v>32</v>
      </c>
      <c r="G893" t="s">
        <v>36</v>
      </c>
      <c r="H893">
        <v>218.25</v>
      </c>
      <c r="I893">
        <v>8</v>
      </c>
      <c r="J893">
        <v>1746</v>
      </c>
      <c r="K893" t="str">
        <f t="shared" si="65"/>
        <v>May</v>
      </c>
      <c r="L893" t="str">
        <f t="shared" si="66"/>
        <v>Low</v>
      </c>
      <c r="M893" t="str">
        <f t="shared" si="67"/>
        <v>Good</v>
      </c>
      <c r="N893">
        <f t="shared" si="69"/>
        <v>-331.90000000000009</v>
      </c>
      <c r="O893" s="6">
        <v>0.1</v>
      </c>
      <c r="P893">
        <f t="shared" si="68"/>
        <v>1571.4</v>
      </c>
    </row>
    <row r="894" spans="1:16" x14ac:dyDescent="0.25">
      <c r="A894" t="s">
        <v>930</v>
      </c>
      <c r="B894" s="1">
        <v>45752</v>
      </c>
      <c r="C894" t="s">
        <v>38</v>
      </c>
      <c r="D894" t="s">
        <v>26</v>
      </c>
      <c r="E894" t="s">
        <v>41</v>
      </c>
      <c r="F894" t="s">
        <v>28</v>
      </c>
      <c r="G894" t="s">
        <v>36</v>
      </c>
      <c r="H894">
        <v>212.65</v>
      </c>
      <c r="I894">
        <v>16</v>
      </c>
      <c r="J894">
        <v>3402.4</v>
      </c>
      <c r="K894" t="str">
        <f t="shared" si="65"/>
        <v>Apr</v>
      </c>
      <c r="L894" t="str">
        <f t="shared" si="66"/>
        <v>High</v>
      </c>
      <c r="M894" t="str">
        <f t="shared" si="67"/>
        <v>Excellent</v>
      </c>
      <c r="N894">
        <f t="shared" si="69"/>
        <v>1656.4</v>
      </c>
      <c r="O894" s="6">
        <v>0.1</v>
      </c>
      <c r="P894">
        <f t="shared" si="68"/>
        <v>3062.1600000000003</v>
      </c>
    </row>
    <row r="895" spans="1:16" x14ac:dyDescent="0.25">
      <c r="A895" t="s">
        <v>931</v>
      </c>
      <c r="B895" s="1">
        <v>45844</v>
      </c>
      <c r="C895" t="s">
        <v>34</v>
      </c>
      <c r="D895" t="s">
        <v>31</v>
      </c>
      <c r="E895" t="s">
        <v>23</v>
      </c>
      <c r="F895" t="s">
        <v>42</v>
      </c>
      <c r="G895" t="s">
        <v>15</v>
      </c>
      <c r="H895">
        <v>117.38</v>
      </c>
      <c r="I895">
        <v>13</v>
      </c>
      <c r="J895">
        <v>1525.94</v>
      </c>
      <c r="K895" t="str">
        <f t="shared" si="65"/>
        <v>Jul</v>
      </c>
      <c r="L895" t="str">
        <f t="shared" si="66"/>
        <v>Low</v>
      </c>
      <c r="M895" t="str">
        <f t="shared" si="67"/>
        <v>Good</v>
      </c>
      <c r="N895">
        <f t="shared" si="69"/>
        <v>-1876.46</v>
      </c>
      <c r="O895" s="6">
        <v>0.1</v>
      </c>
      <c r="P895">
        <f t="shared" si="68"/>
        <v>1373.346</v>
      </c>
    </row>
    <row r="896" spans="1:16" x14ac:dyDescent="0.25">
      <c r="A896" t="s">
        <v>932</v>
      </c>
      <c r="B896" s="1">
        <v>45952</v>
      </c>
      <c r="C896" t="s">
        <v>11</v>
      </c>
      <c r="D896" t="s">
        <v>12</v>
      </c>
      <c r="E896" t="s">
        <v>13</v>
      </c>
      <c r="F896" t="s">
        <v>39</v>
      </c>
      <c r="G896" t="s">
        <v>15</v>
      </c>
      <c r="H896">
        <v>176.98</v>
      </c>
      <c r="I896">
        <v>8</v>
      </c>
      <c r="J896">
        <v>1415.84</v>
      </c>
      <c r="K896" t="str">
        <f t="shared" si="65"/>
        <v>Oct</v>
      </c>
      <c r="L896" t="str">
        <f t="shared" si="66"/>
        <v>Low</v>
      </c>
      <c r="M896" t="str">
        <f t="shared" si="67"/>
        <v>Average</v>
      </c>
      <c r="N896">
        <f t="shared" si="69"/>
        <v>-110.10000000000014</v>
      </c>
      <c r="O896" s="6">
        <v>0.1</v>
      </c>
      <c r="P896">
        <f t="shared" si="68"/>
        <v>1274.2559999999999</v>
      </c>
    </row>
    <row r="897" spans="1:16" x14ac:dyDescent="0.25">
      <c r="A897" t="s">
        <v>933</v>
      </c>
      <c r="B897" s="1">
        <v>45942</v>
      </c>
      <c r="C897" t="s">
        <v>38</v>
      </c>
      <c r="D897" t="s">
        <v>26</v>
      </c>
      <c r="E897" t="s">
        <v>23</v>
      </c>
      <c r="F897" t="s">
        <v>39</v>
      </c>
      <c r="G897" t="s">
        <v>20</v>
      </c>
      <c r="H897">
        <v>75.099999999999994</v>
      </c>
      <c r="I897">
        <v>14</v>
      </c>
      <c r="J897">
        <v>1051.4000000000001</v>
      </c>
      <c r="K897" t="str">
        <f t="shared" si="65"/>
        <v>Oct</v>
      </c>
      <c r="L897" t="str">
        <f t="shared" si="66"/>
        <v>Low</v>
      </c>
      <c r="M897" t="str">
        <f t="shared" si="67"/>
        <v>Average</v>
      </c>
      <c r="N897">
        <f t="shared" si="69"/>
        <v>-364.43999999999983</v>
      </c>
      <c r="O897" s="6">
        <v>0.1</v>
      </c>
      <c r="P897">
        <f t="shared" si="68"/>
        <v>946.2600000000001</v>
      </c>
    </row>
    <row r="898" spans="1:16" x14ac:dyDescent="0.25">
      <c r="A898" t="s">
        <v>934</v>
      </c>
      <c r="B898" s="1">
        <v>45734</v>
      </c>
      <c r="C898" t="s">
        <v>11</v>
      </c>
      <c r="D898" t="s">
        <v>26</v>
      </c>
      <c r="E898" t="s">
        <v>41</v>
      </c>
      <c r="F898" t="s">
        <v>61</v>
      </c>
      <c r="G898" t="s">
        <v>15</v>
      </c>
      <c r="H898">
        <v>94.49</v>
      </c>
      <c r="I898">
        <v>16</v>
      </c>
      <c r="J898">
        <v>1511.84</v>
      </c>
      <c r="K898" t="str">
        <f t="shared" ref="K898:K961" si="70">TEXT(B898,"MMM")</f>
        <v>Mar</v>
      </c>
      <c r="L898" t="str">
        <f t="shared" ref="L898:L961" si="71">IF(J898&gt;2000,"High","Low")</f>
        <v>Low</v>
      </c>
      <c r="M898" t="str">
        <f t="shared" ref="M898:M961" si="72">IF(J898&gt;3000,"Excellent",
 IF(J898&gt;1500,"Good",
 IF(J898&gt;500,"Average","Low")))</f>
        <v>Good</v>
      </c>
      <c r="N898">
        <f t="shared" si="69"/>
        <v>460.43999999999983</v>
      </c>
      <c r="O898" s="6">
        <v>0.1</v>
      </c>
      <c r="P898">
        <f t="shared" ref="P898:P961" si="73">J898*(1-O898)</f>
        <v>1360.6559999999999</v>
      </c>
    </row>
    <row r="899" spans="1:16" x14ac:dyDescent="0.25">
      <c r="A899" t="s">
        <v>935</v>
      </c>
      <c r="B899" s="1">
        <v>45980</v>
      </c>
      <c r="C899" t="s">
        <v>25</v>
      </c>
      <c r="D899" t="s">
        <v>12</v>
      </c>
      <c r="E899" t="s">
        <v>13</v>
      </c>
      <c r="F899" t="s">
        <v>39</v>
      </c>
      <c r="G899" t="s">
        <v>36</v>
      </c>
      <c r="H899">
        <v>227.19</v>
      </c>
      <c r="I899">
        <v>17</v>
      </c>
      <c r="J899">
        <v>3862.23</v>
      </c>
      <c r="K899" t="str">
        <f t="shared" si="70"/>
        <v>Nov</v>
      </c>
      <c r="L899" t="str">
        <f t="shared" si="71"/>
        <v>High</v>
      </c>
      <c r="M899" t="str">
        <f t="shared" si="72"/>
        <v>Excellent</v>
      </c>
      <c r="N899">
        <f t="shared" ref="N899:N962" si="74">J899-J898</f>
        <v>2350.3900000000003</v>
      </c>
      <c r="O899" s="6">
        <v>0.1</v>
      </c>
      <c r="P899">
        <f t="shared" si="73"/>
        <v>3476.0070000000001</v>
      </c>
    </row>
    <row r="900" spans="1:16" x14ac:dyDescent="0.25">
      <c r="A900" t="s">
        <v>936</v>
      </c>
      <c r="B900" s="1">
        <v>45811</v>
      </c>
      <c r="C900" t="s">
        <v>25</v>
      </c>
      <c r="D900" t="s">
        <v>55</v>
      </c>
      <c r="E900" t="s">
        <v>45</v>
      </c>
      <c r="F900" t="s">
        <v>61</v>
      </c>
      <c r="G900" t="s">
        <v>15</v>
      </c>
      <c r="H900">
        <v>32.86</v>
      </c>
      <c r="I900">
        <v>9</v>
      </c>
      <c r="J900">
        <v>295.74</v>
      </c>
      <c r="K900" t="str">
        <f t="shared" si="70"/>
        <v>Jun</v>
      </c>
      <c r="L900" t="str">
        <f t="shared" si="71"/>
        <v>Low</v>
      </c>
      <c r="M900" t="str">
        <f t="shared" si="72"/>
        <v>Low</v>
      </c>
      <c r="N900">
        <f t="shared" si="74"/>
        <v>-3566.49</v>
      </c>
      <c r="O900" s="6">
        <v>0.1</v>
      </c>
      <c r="P900">
        <f t="shared" si="73"/>
        <v>266.166</v>
      </c>
    </row>
    <row r="901" spans="1:16" x14ac:dyDescent="0.25">
      <c r="A901" t="s">
        <v>937</v>
      </c>
      <c r="B901" s="1">
        <v>46011</v>
      </c>
      <c r="C901" t="s">
        <v>11</v>
      </c>
      <c r="D901" t="s">
        <v>26</v>
      </c>
      <c r="E901" t="s">
        <v>13</v>
      </c>
      <c r="F901" t="s">
        <v>61</v>
      </c>
      <c r="G901" t="s">
        <v>20</v>
      </c>
      <c r="H901">
        <v>48.81</v>
      </c>
      <c r="I901">
        <v>6</v>
      </c>
      <c r="J901">
        <v>292.86</v>
      </c>
      <c r="K901" t="str">
        <f t="shared" si="70"/>
        <v>Dec</v>
      </c>
      <c r="L901" t="str">
        <f t="shared" si="71"/>
        <v>Low</v>
      </c>
      <c r="M901" t="str">
        <f t="shared" si="72"/>
        <v>Low</v>
      </c>
      <c r="N901">
        <f t="shared" si="74"/>
        <v>-2.8799999999999955</v>
      </c>
      <c r="O901" s="6">
        <v>0.1</v>
      </c>
      <c r="P901">
        <f t="shared" si="73"/>
        <v>263.57400000000001</v>
      </c>
    </row>
    <row r="902" spans="1:16" x14ac:dyDescent="0.25">
      <c r="A902" t="s">
        <v>938</v>
      </c>
      <c r="B902" s="1">
        <v>45707</v>
      </c>
      <c r="C902" t="s">
        <v>17</v>
      </c>
      <c r="D902" t="s">
        <v>35</v>
      </c>
      <c r="E902" t="s">
        <v>13</v>
      </c>
      <c r="F902" t="s">
        <v>32</v>
      </c>
      <c r="G902" t="s">
        <v>36</v>
      </c>
      <c r="H902">
        <v>75.73</v>
      </c>
      <c r="I902">
        <v>15</v>
      </c>
      <c r="J902">
        <v>1135.95</v>
      </c>
      <c r="K902" t="str">
        <f t="shared" si="70"/>
        <v>Feb</v>
      </c>
      <c r="L902" t="str">
        <f t="shared" si="71"/>
        <v>Low</v>
      </c>
      <c r="M902" t="str">
        <f t="shared" si="72"/>
        <v>Average</v>
      </c>
      <c r="N902">
        <f t="shared" si="74"/>
        <v>843.09</v>
      </c>
      <c r="O902" s="6">
        <v>0.1</v>
      </c>
      <c r="P902">
        <f t="shared" si="73"/>
        <v>1022.355</v>
      </c>
    </row>
    <row r="903" spans="1:16" x14ac:dyDescent="0.25">
      <c r="A903" t="s">
        <v>939</v>
      </c>
      <c r="B903" s="1">
        <v>45944</v>
      </c>
      <c r="C903" t="s">
        <v>34</v>
      </c>
      <c r="D903" t="s">
        <v>35</v>
      </c>
      <c r="E903" t="s">
        <v>45</v>
      </c>
      <c r="F903" t="s">
        <v>61</v>
      </c>
      <c r="G903" t="s">
        <v>15</v>
      </c>
      <c r="H903">
        <v>35.840000000000003</v>
      </c>
      <c r="I903">
        <v>18</v>
      </c>
      <c r="J903">
        <v>645.12</v>
      </c>
      <c r="K903" t="str">
        <f t="shared" si="70"/>
        <v>Oct</v>
      </c>
      <c r="L903" t="str">
        <f t="shared" si="71"/>
        <v>Low</v>
      </c>
      <c r="M903" t="str">
        <f t="shared" si="72"/>
        <v>Average</v>
      </c>
      <c r="N903">
        <f t="shared" si="74"/>
        <v>-490.83000000000004</v>
      </c>
      <c r="O903" s="6">
        <v>0.1</v>
      </c>
      <c r="P903">
        <f t="shared" si="73"/>
        <v>580.60800000000006</v>
      </c>
    </row>
    <row r="904" spans="1:16" x14ac:dyDescent="0.25">
      <c r="A904" t="s">
        <v>940</v>
      </c>
      <c r="B904" s="1">
        <v>45837</v>
      </c>
      <c r="C904" t="s">
        <v>30</v>
      </c>
      <c r="D904" t="s">
        <v>55</v>
      </c>
      <c r="E904" t="s">
        <v>18</v>
      </c>
      <c r="F904" t="s">
        <v>28</v>
      </c>
      <c r="G904" t="s">
        <v>20</v>
      </c>
      <c r="H904">
        <v>69.92</v>
      </c>
      <c r="I904">
        <v>20</v>
      </c>
      <c r="J904">
        <v>1398.4</v>
      </c>
      <c r="K904" t="str">
        <f t="shared" si="70"/>
        <v>Jun</v>
      </c>
      <c r="L904" t="str">
        <f t="shared" si="71"/>
        <v>Low</v>
      </c>
      <c r="M904" t="str">
        <f t="shared" si="72"/>
        <v>Average</v>
      </c>
      <c r="N904">
        <f t="shared" si="74"/>
        <v>753.28000000000009</v>
      </c>
      <c r="O904" s="6">
        <v>0.1</v>
      </c>
      <c r="P904">
        <f t="shared" si="73"/>
        <v>1258.5600000000002</v>
      </c>
    </row>
    <row r="905" spans="1:16" x14ac:dyDescent="0.25">
      <c r="A905" t="s">
        <v>941</v>
      </c>
      <c r="B905" s="1">
        <v>45933</v>
      </c>
      <c r="C905" t="s">
        <v>34</v>
      </c>
      <c r="D905" t="s">
        <v>35</v>
      </c>
      <c r="E905" t="s">
        <v>13</v>
      </c>
      <c r="F905" t="s">
        <v>28</v>
      </c>
      <c r="G905" t="s">
        <v>20</v>
      </c>
      <c r="H905">
        <v>158.27000000000001</v>
      </c>
      <c r="I905">
        <v>6</v>
      </c>
      <c r="J905">
        <v>949.62</v>
      </c>
      <c r="K905" t="str">
        <f t="shared" si="70"/>
        <v>Oct</v>
      </c>
      <c r="L905" t="str">
        <f t="shared" si="71"/>
        <v>Low</v>
      </c>
      <c r="M905" t="str">
        <f t="shared" si="72"/>
        <v>Average</v>
      </c>
      <c r="N905">
        <f t="shared" si="74"/>
        <v>-448.78000000000009</v>
      </c>
      <c r="O905" s="6">
        <v>0.1</v>
      </c>
      <c r="P905">
        <f t="shared" si="73"/>
        <v>854.65800000000002</v>
      </c>
    </row>
    <row r="906" spans="1:16" x14ac:dyDescent="0.25">
      <c r="A906" t="s">
        <v>942</v>
      </c>
      <c r="B906" s="1">
        <v>45907</v>
      </c>
      <c r="C906" t="s">
        <v>11</v>
      </c>
      <c r="D906" t="s">
        <v>31</v>
      </c>
      <c r="E906" t="s">
        <v>18</v>
      </c>
      <c r="F906" t="s">
        <v>32</v>
      </c>
      <c r="G906" t="s">
        <v>36</v>
      </c>
      <c r="H906">
        <v>122.71</v>
      </c>
      <c r="I906">
        <v>15</v>
      </c>
      <c r="J906">
        <v>1840.65</v>
      </c>
      <c r="K906" t="str">
        <f t="shared" si="70"/>
        <v>Sep</v>
      </c>
      <c r="L906" t="str">
        <f t="shared" si="71"/>
        <v>Low</v>
      </c>
      <c r="M906" t="str">
        <f t="shared" si="72"/>
        <v>Good</v>
      </c>
      <c r="N906">
        <f t="shared" si="74"/>
        <v>891.03000000000009</v>
      </c>
      <c r="O906" s="6">
        <v>0.1</v>
      </c>
      <c r="P906">
        <f t="shared" si="73"/>
        <v>1656.585</v>
      </c>
    </row>
    <row r="907" spans="1:16" x14ac:dyDescent="0.25">
      <c r="A907" t="s">
        <v>943</v>
      </c>
      <c r="B907" s="1">
        <v>45981</v>
      </c>
      <c r="C907" t="s">
        <v>30</v>
      </c>
      <c r="D907" t="s">
        <v>12</v>
      </c>
      <c r="E907" t="s">
        <v>13</v>
      </c>
      <c r="F907" t="s">
        <v>61</v>
      </c>
      <c r="G907" t="s">
        <v>20</v>
      </c>
      <c r="H907">
        <v>226.39</v>
      </c>
      <c r="I907">
        <v>5</v>
      </c>
      <c r="J907">
        <v>1131.95</v>
      </c>
      <c r="K907" t="str">
        <f t="shared" si="70"/>
        <v>Nov</v>
      </c>
      <c r="L907" t="str">
        <f t="shared" si="71"/>
        <v>Low</v>
      </c>
      <c r="M907" t="str">
        <f t="shared" si="72"/>
        <v>Average</v>
      </c>
      <c r="N907">
        <f t="shared" si="74"/>
        <v>-708.7</v>
      </c>
      <c r="O907" s="6">
        <v>0.1</v>
      </c>
      <c r="P907">
        <f t="shared" si="73"/>
        <v>1018.7550000000001</v>
      </c>
    </row>
    <row r="908" spans="1:16" x14ac:dyDescent="0.25">
      <c r="A908" t="s">
        <v>944</v>
      </c>
      <c r="B908" s="1">
        <v>45971</v>
      </c>
      <c r="C908" t="s">
        <v>38</v>
      </c>
      <c r="D908" t="s">
        <v>22</v>
      </c>
      <c r="E908" t="s">
        <v>45</v>
      </c>
      <c r="F908" t="s">
        <v>14</v>
      </c>
      <c r="G908" t="s">
        <v>36</v>
      </c>
      <c r="H908">
        <v>209.84</v>
      </c>
      <c r="I908">
        <v>19</v>
      </c>
      <c r="J908">
        <v>3986.96</v>
      </c>
      <c r="K908" t="str">
        <f t="shared" si="70"/>
        <v>Nov</v>
      </c>
      <c r="L908" t="str">
        <f t="shared" si="71"/>
        <v>High</v>
      </c>
      <c r="M908" t="str">
        <f t="shared" si="72"/>
        <v>Excellent</v>
      </c>
      <c r="N908">
        <f t="shared" si="74"/>
        <v>2855.01</v>
      </c>
      <c r="O908" s="6">
        <v>0.1</v>
      </c>
      <c r="P908">
        <f t="shared" si="73"/>
        <v>3588.2640000000001</v>
      </c>
    </row>
    <row r="909" spans="1:16" x14ac:dyDescent="0.25">
      <c r="A909" t="s">
        <v>945</v>
      </c>
      <c r="B909" s="1">
        <v>45774</v>
      </c>
      <c r="C909" t="s">
        <v>34</v>
      </c>
      <c r="D909" t="s">
        <v>12</v>
      </c>
      <c r="E909" t="s">
        <v>13</v>
      </c>
      <c r="F909" t="s">
        <v>28</v>
      </c>
      <c r="G909" t="s">
        <v>36</v>
      </c>
      <c r="H909">
        <v>105.2</v>
      </c>
      <c r="I909">
        <v>11</v>
      </c>
      <c r="J909">
        <v>1157.2</v>
      </c>
      <c r="K909" t="str">
        <f t="shared" si="70"/>
        <v>Apr</v>
      </c>
      <c r="L909" t="str">
        <f t="shared" si="71"/>
        <v>Low</v>
      </c>
      <c r="M909" t="str">
        <f t="shared" si="72"/>
        <v>Average</v>
      </c>
      <c r="N909">
        <f t="shared" si="74"/>
        <v>-2829.76</v>
      </c>
      <c r="O909" s="6">
        <v>0.1</v>
      </c>
      <c r="P909">
        <f t="shared" si="73"/>
        <v>1041.48</v>
      </c>
    </row>
    <row r="910" spans="1:16" x14ac:dyDescent="0.25">
      <c r="A910" t="s">
        <v>946</v>
      </c>
      <c r="B910" s="1">
        <v>45967</v>
      </c>
      <c r="C910" t="s">
        <v>34</v>
      </c>
      <c r="D910" t="s">
        <v>31</v>
      </c>
      <c r="E910" t="s">
        <v>13</v>
      </c>
      <c r="F910" t="s">
        <v>28</v>
      </c>
      <c r="G910" t="s">
        <v>20</v>
      </c>
      <c r="H910">
        <v>87.07</v>
      </c>
      <c r="I910">
        <v>13</v>
      </c>
      <c r="J910">
        <v>1131.9100000000001</v>
      </c>
      <c r="K910" t="str">
        <f t="shared" si="70"/>
        <v>Nov</v>
      </c>
      <c r="L910" t="str">
        <f t="shared" si="71"/>
        <v>Low</v>
      </c>
      <c r="M910" t="str">
        <f t="shared" si="72"/>
        <v>Average</v>
      </c>
      <c r="N910">
        <f t="shared" si="74"/>
        <v>-25.289999999999964</v>
      </c>
      <c r="O910" s="6">
        <v>0.1</v>
      </c>
      <c r="P910">
        <f t="shared" si="73"/>
        <v>1018.7190000000001</v>
      </c>
    </row>
    <row r="911" spans="1:16" x14ac:dyDescent="0.25">
      <c r="A911" t="s">
        <v>947</v>
      </c>
      <c r="B911" s="1">
        <v>45924</v>
      </c>
      <c r="C911" t="s">
        <v>38</v>
      </c>
      <c r="D911" t="s">
        <v>26</v>
      </c>
      <c r="E911" t="s">
        <v>23</v>
      </c>
      <c r="F911" t="s">
        <v>39</v>
      </c>
      <c r="G911" t="s">
        <v>15</v>
      </c>
      <c r="H911">
        <v>113.53</v>
      </c>
      <c r="I911">
        <v>15</v>
      </c>
      <c r="J911">
        <v>1702.95</v>
      </c>
      <c r="K911" t="str">
        <f t="shared" si="70"/>
        <v>Sep</v>
      </c>
      <c r="L911" t="str">
        <f t="shared" si="71"/>
        <v>Low</v>
      </c>
      <c r="M911" t="str">
        <f t="shared" si="72"/>
        <v>Good</v>
      </c>
      <c r="N911">
        <f t="shared" si="74"/>
        <v>571.04</v>
      </c>
      <c r="O911" s="6">
        <v>0.1</v>
      </c>
      <c r="P911">
        <f t="shared" si="73"/>
        <v>1532.655</v>
      </c>
    </row>
    <row r="912" spans="1:16" x14ac:dyDescent="0.25">
      <c r="A912" t="s">
        <v>948</v>
      </c>
      <c r="B912" s="1">
        <v>45722</v>
      </c>
      <c r="C912" t="s">
        <v>17</v>
      </c>
      <c r="D912" t="s">
        <v>35</v>
      </c>
      <c r="E912" t="s">
        <v>27</v>
      </c>
      <c r="F912" t="s">
        <v>28</v>
      </c>
      <c r="G912" t="s">
        <v>20</v>
      </c>
      <c r="H912">
        <v>159.86000000000001</v>
      </c>
      <c r="I912">
        <v>8</v>
      </c>
      <c r="J912">
        <v>1278.8800000000001</v>
      </c>
      <c r="K912" t="str">
        <f t="shared" si="70"/>
        <v>Mar</v>
      </c>
      <c r="L912" t="str">
        <f t="shared" si="71"/>
        <v>Low</v>
      </c>
      <c r="M912" t="str">
        <f t="shared" si="72"/>
        <v>Average</v>
      </c>
      <c r="N912">
        <f t="shared" si="74"/>
        <v>-424.06999999999994</v>
      </c>
      <c r="O912" s="6">
        <v>0.1</v>
      </c>
      <c r="P912">
        <f t="shared" si="73"/>
        <v>1150.9920000000002</v>
      </c>
    </row>
    <row r="913" spans="1:16" x14ac:dyDescent="0.25">
      <c r="A913" t="s">
        <v>949</v>
      </c>
      <c r="B913" s="1">
        <v>45698</v>
      </c>
      <c r="C913" t="s">
        <v>30</v>
      </c>
      <c r="D913" t="s">
        <v>31</v>
      </c>
      <c r="E913" t="s">
        <v>45</v>
      </c>
      <c r="F913" t="s">
        <v>19</v>
      </c>
      <c r="G913" t="s">
        <v>15</v>
      </c>
      <c r="H913">
        <v>88.97</v>
      </c>
      <c r="I913">
        <v>7</v>
      </c>
      <c r="J913">
        <v>622.79</v>
      </c>
      <c r="K913" t="str">
        <f t="shared" si="70"/>
        <v>Feb</v>
      </c>
      <c r="L913" t="str">
        <f t="shared" si="71"/>
        <v>Low</v>
      </c>
      <c r="M913" t="str">
        <f t="shared" si="72"/>
        <v>Average</v>
      </c>
      <c r="N913">
        <f t="shared" si="74"/>
        <v>-656.09000000000015</v>
      </c>
      <c r="O913" s="6">
        <v>0.1</v>
      </c>
      <c r="P913">
        <f t="shared" si="73"/>
        <v>560.51099999999997</v>
      </c>
    </row>
    <row r="914" spans="1:16" x14ac:dyDescent="0.25">
      <c r="A914" t="s">
        <v>950</v>
      </c>
      <c r="B914" s="1">
        <v>45900</v>
      </c>
      <c r="C914" t="s">
        <v>11</v>
      </c>
      <c r="D914" t="s">
        <v>22</v>
      </c>
      <c r="E914" t="s">
        <v>41</v>
      </c>
      <c r="F914" t="s">
        <v>42</v>
      </c>
      <c r="G914" t="s">
        <v>15</v>
      </c>
      <c r="H914">
        <v>167.31</v>
      </c>
      <c r="I914">
        <v>18</v>
      </c>
      <c r="J914">
        <v>3011.58</v>
      </c>
      <c r="K914" t="str">
        <f t="shared" si="70"/>
        <v>Aug</v>
      </c>
      <c r="L914" t="str">
        <f t="shared" si="71"/>
        <v>High</v>
      </c>
      <c r="M914" t="str">
        <f t="shared" si="72"/>
        <v>Excellent</v>
      </c>
      <c r="N914">
        <f t="shared" si="74"/>
        <v>2388.79</v>
      </c>
      <c r="O914" s="6">
        <v>0.1</v>
      </c>
      <c r="P914">
        <f t="shared" si="73"/>
        <v>2710.422</v>
      </c>
    </row>
    <row r="915" spans="1:16" x14ac:dyDescent="0.25">
      <c r="A915" t="s">
        <v>951</v>
      </c>
      <c r="B915" s="1">
        <v>45711</v>
      </c>
      <c r="C915" t="s">
        <v>25</v>
      </c>
      <c r="D915" t="s">
        <v>26</v>
      </c>
      <c r="E915" t="s">
        <v>45</v>
      </c>
      <c r="F915" t="s">
        <v>28</v>
      </c>
      <c r="G915" t="s">
        <v>36</v>
      </c>
      <c r="H915">
        <v>120.07</v>
      </c>
      <c r="I915">
        <v>9</v>
      </c>
      <c r="J915">
        <v>1080.6300000000001</v>
      </c>
      <c r="K915" t="str">
        <f t="shared" si="70"/>
        <v>Feb</v>
      </c>
      <c r="L915" t="str">
        <f t="shared" si="71"/>
        <v>Low</v>
      </c>
      <c r="M915" t="str">
        <f t="shared" si="72"/>
        <v>Average</v>
      </c>
      <c r="N915">
        <f t="shared" si="74"/>
        <v>-1930.9499999999998</v>
      </c>
      <c r="O915" s="6">
        <v>0.1</v>
      </c>
      <c r="P915">
        <f t="shared" si="73"/>
        <v>972.56700000000012</v>
      </c>
    </row>
    <row r="916" spans="1:16" x14ac:dyDescent="0.25">
      <c r="A916" t="s">
        <v>952</v>
      </c>
      <c r="B916" s="1">
        <v>45816</v>
      </c>
      <c r="C916" t="s">
        <v>30</v>
      </c>
      <c r="D916" t="s">
        <v>12</v>
      </c>
      <c r="E916" t="s">
        <v>13</v>
      </c>
      <c r="F916" t="s">
        <v>61</v>
      </c>
      <c r="G916" t="s">
        <v>20</v>
      </c>
      <c r="H916">
        <v>151.44999999999999</v>
      </c>
      <c r="I916">
        <v>8</v>
      </c>
      <c r="J916">
        <v>1211.5999999999999</v>
      </c>
      <c r="K916" t="str">
        <f t="shared" si="70"/>
        <v>Jun</v>
      </c>
      <c r="L916" t="str">
        <f t="shared" si="71"/>
        <v>Low</v>
      </c>
      <c r="M916" t="str">
        <f t="shared" si="72"/>
        <v>Average</v>
      </c>
      <c r="N916">
        <f t="shared" si="74"/>
        <v>130.9699999999998</v>
      </c>
      <c r="O916" s="6">
        <v>0.1</v>
      </c>
      <c r="P916">
        <f t="shared" si="73"/>
        <v>1090.44</v>
      </c>
    </row>
    <row r="917" spans="1:16" x14ac:dyDescent="0.25">
      <c r="A917" t="s">
        <v>953</v>
      </c>
      <c r="B917" s="1">
        <v>45722</v>
      </c>
      <c r="C917" t="s">
        <v>25</v>
      </c>
      <c r="D917" t="s">
        <v>26</v>
      </c>
      <c r="E917" t="s">
        <v>45</v>
      </c>
      <c r="F917" t="s">
        <v>19</v>
      </c>
      <c r="G917" t="s">
        <v>20</v>
      </c>
      <c r="H917">
        <v>125.95</v>
      </c>
      <c r="I917">
        <v>5</v>
      </c>
      <c r="J917">
        <v>629.75</v>
      </c>
      <c r="K917" t="str">
        <f t="shared" si="70"/>
        <v>Mar</v>
      </c>
      <c r="L917" t="str">
        <f t="shared" si="71"/>
        <v>Low</v>
      </c>
      <c r="M917" t="str">
        <f t="shared" si="72"/>
        <v>Average</v>
      </c>
      <c r="N917">
        <f t="shared" si="74"/>
        <v>-581.84999999999991</v>
      </c>
      <c r="O917" s="6">
        <v>0.1</v>
      </c>
      <c r="P917">
        <f t="shared" si="73"/>
        <v>566.77499999999998</v>
      </c>
    </row>
    <row r="918" spans="1:16" x14ac:dyDescent="0.25">
      <c r="A918" t="s">
        <v>954</v>
      </c>
      <c r="B918" s="1">
        <v>45840</v>
      </c>
      <c r="C918" t="s">
        <v>38</v>
      </c>
      <c r="D918" t="s">
        <v>31</v>
      </c>
      <c r="E918" t="s">
        <v>18</v>
      </c>
      <c r="F918" t="s">
        <v>32</v>
      </c>
      <c r="G918" t="s">
        <v>20</v>
      </c>
      <c r="H918">
        <v>94.78</v>
      </c>
      <c r="I918">
        <v>11</v>
      </c>
      <c r="J918">
        <v>1042.58</v>
      </c>
      <c r="K918" t="str">
        <f t="shared" si="70"/>
        <v>Jul</v>
      </c>
      <c r="L918" t="str">
        <f t="shared" si="71"/>
        <v>Low</v>
      </c>
      <c r="M918" t="str">
        <f t="shared" si="72"/>
        <v>Average</v>
      </c>
      <c r="N918">
        <f t="shared" si="74"/>
        <v>412.82999999999993</v>
      </c>
      <c r="O918" s="6">
        <v>0.1</v>
      </c>
      <c r="P918">
        <f t="shared" si="73"/>
        <v>938.322</v>
      </c>
    </row>
    <row r="919" spans="1:16" x14ac:dyDescent="0.25">
      <c r="A919" t="s">
        <v>955</v>
      </c>
      <c r="B919" s="1">
        <v>45885</v>
      </c>
      <c r="C919" t="s">
        <v>17</v>
      </c>
      <c r="D919" t="s">
        <v>55</v>
      </c>
      <c r="E919" t="s">
        <v>23</v>
      </c>
      <c r="F919" t="s">
        <v>42</v>
      </c>
      <c r="G919" t="s">
        <v>20</v>
      </c>
      <c r="H919">
        <v>238.66</v>
      </c>
      <c r="I919">
        <v>5</v>
      </c>
      <c r="J919">
        <v>1193.3</v>
      </c>
      <c r="K919" t="str">
        <f t="shared" si="70"/>
        <v>Aug</v>
      </c>
      <c r="L919" t="str">
        <f t="shared" si="71"/>
        <v>Low</v>
      </c>
      <c r="M919" t="str">
        <f t="shared" si="72"/>
        <v>Average</v>
      </c>
      <c r="N919">
        <f t="shared" si="74"/>
        <v>150.72000000000003</v>
      </c>
      <c r="O919" s="6">
        <v>0.1</v>
      </c>
      <c r="P919">
        <f t="shared" si="73"/>
        <v>1073.97</v>
      </c>
    </row>
    <row r="920" spans="1:16" x14ac:dyDescent="0.25">
      <c r="A920" t="s">
        <v>956</v>
      </c>
      <c r="B920" s="1">
        <v>45891</v>
      </c>
      <c r="C920" t="s">
        <v>38</v>
      </c>
      <c r="D920" t="s">
        <v>55</v>
      </c>
      <c r="E920" t="s">
        <v>27</v>
      </c>
      <c r="F920" t="s">
        <v>28</v>
      </c>
      <c r="G920" t="s">
        <v>20</v>
      </c>
      <c r="H920">
        <v>197.99</v>
      </c>
      <c r="I920">
        <v>19</v>
      </c>
      <c r="J920">
        <v>3761.81</v>
      </c>
      <c r="K920" t="str">
        <f t="shared" si="70"/>
        <v>Aug</v>
      </c>
      <c r="L920" t="str">
        <f t="shared" si="71"/>
        <v>High</v>
      </c>
      <c r="M920" t="str">
        <f t="shared" si="72"/>
        <v>Excellent</v>
      </c>
      <c r="N920">
        <f t="shared" si="74"/>
        <v>2568.5100000000002</v>
      </c>
      <c r="O920" s="6">
        <v>0.1</v>
      </c>
      <c r="P920">
        <f t="shared" si="73"/>
        <v>3385.6289999999999</v>
      </c>
    </row>
    <row r="921" spans="1:16" x14ac:dyDescent="0.25">
      <c r="A921" t="s">
        <v>957</v>
      </c>
      <c r="B921" s="1">
        <v>45816</v>
      </c>
      <c r="C921" t="s">
        <v>38</v>
      </c>
      <c r="D921" t="s">
        <v>55</v>
      </c>
      <c r="E921" t="s">
        <v>23</v>
      </c>
      <c r="F921" t="s">
        <v>39</v>
      </c>
      <c r="G921" t="s">
        <v>15</v>
      </c>
      <c r="H921">
        <v>60.82</v>
      </c>
      <c r="I921">
        <v>12</v>
      </c>
      <c r="J921">
        <v>729.84</v>
      </c>
      <c r="K921" t="str">
        <f t="shared" si="70"/>
        <v>Jun</v>
      </c>
      <c r="L921" t="str">
        <f t="shared" si="71"/>
        <v>Low</v>
      </c>
      <c r="M921" t="str">
        <f t="shared" si="72"/>
        <v>Average</v>
      </c>
      <c r="N921">
        <f t="shared" si="74"/>
        <v>-3031.97</v>
      </c>
      <c r="O921" s="6">
        <v>0.1</v>
      </c>
      <c r="P921">
        <f t="shared" si="73"/>
        <v>656.85599999999999</v>
      </c>
    </row>
    <row r="922" spans="1:16" x14ac:dyDescent="0.25">
      <c r="A922" t="s">
        <v>958</v>
      </c>
      <c r="B922" s="1">
        <v>45884</v>
      </c>
      <c r="C922" t="s">
        <v>34</v>
      </c>
      <c r="D922" t="s">
        <v>31</v>
      </c>
      <c r="E922" t="s">
        <v>13</v>
      </c>
      <c r="F922" t="s">
        <v>14</v>
      </c>
      <c r="G922" t="s">
        <v>36</v>
      </c>
      <c r="H922">
        <v>221.06</v>
      </c>
      <c r="I922">
        <v>10</v>
      </c>
      <c r="J922">
        <v>2210.6</v>
      </c>
      <c r="K922" t="str">
        <f t="shared" si="70"/>
        <v>Aug</v>
      </c>
      <c r="L922" t="str">
        <f t="shared" si="71"/>
        <v>High</v>
      </c>
      <c r="M922" t="str">
        <f t="shared" si="72"/>
        <v>Good</v>
      </c>
      <c r="N922">
        <f t="shared" si="74"/>
        <v>1480.7599999999998</v>
      </c>
      <c r="O922" s="6">
        <v>0.1</v>
      </c>
      <c r="P922">
        <f t="shared" si="73"/>
        <v>1989.54</v>
      </c>
    </row>
    <row r="923" spans="1:16" x14ac:dyDescent="0.25">
      <c r="A923" t="s">
        <v>959</v>
      </c>
      <c r="B923" s="1">
        <v>45663</v>
      </c>
      <c r="C923" t="s">
        <v>25</v>
      </c>
      <c r="D923" t="s">
        <v>26</v>
      </c>
      <c r="E923" t="s">
        <v>13</v>
      </c>
      <c r="F923" t="s">
        <v>32</v>
      </c>
      <c r="G923" t="s">
        <v>36</v>
      </c>
      <c r="H923">
        <v>137.22999999999999</v>
      </c>
      <c r="I923">
        <v>1</v>
      </c>
      <c r="J923">
        <v>137.22999999999999</v>
      </c>
      <c r="K923" t="str">
        <f t="shared" si="70"/>
        <v>Jan</v>
      </c>
      <c r="L923" t="str">
        <f t="shared" si="71"/>
        <v>Low</v>
      </c>
      <c r="M923" t="str">
        <f t="shared" si="72"/>
        <v>Low</v>
      </c>
      <c r="N923">
        <f t="shared" si="74"/>
        <v>-2073.37</v>
      </c>
      <c r="O923" s="6">
        <v>0.1</v>
      </c>
      <c r="P923">
        <f t="shared" si="73"/>
        <v>123.50699999999999</v>
      </c>
    </row>
    <row r="924" spans="1:16" x14ac:dyDescent="0.25">
      <c r="A924" t="s">
        <v>960</v>
      </c>
      <c r="B924" s="1">
        <v>45931</v>
      </c>
      <c r="C924" t="s">
        <v>17</v>
      </c>
      <c r="D924" t="s">
        <v>31</v>
      </c>
      <c r="E924" t="s">
        <v>41</v>
      </c>
      <c r="F924" t="s">
        <v>32</v>
      </c>
      <c r="G924" t="s">
        <v>15</v>
      </c>
      <c r="H924">
        <v>226.8</v>
      </c>
      <c r="I924">
        <v>1</v>
      </c>
      <c r="J924">
        <v>226.8</v>
      </c>
      <c r="K924" t="str">
        <f t="shared" si="70"/>
        <v>Oct</v>
      </c>
      <c r="L924" t="str">
        <f t="shared" si="71"/>
        <v>Low</v>
      </c>
      <c r="M924" t="str">
        <f t="shared" si="72"/>
        <v>Low</v>
      </c>
      <c r="N924">
        <f t="shared" si="74"/>
        <v>89.570000000000022</v>
      </c>
      <c r="O924" s="6">
        <v>0.1</v>
      </c>
      <c r="P924">
        <f t="shared" si="73"/>
        <v>204.12</v>
      </c>
    </row>
    <row r="925" spans="1:16" x14ac:dyDescent="0.25">
      <c r="A925" t="s">
        <v>961</v>
      </c>
      <c r="B925" s="1">
        <v>45878</v>
      </c>
      <c r="C925" t="s">
        <v>25</v>
      </c>
      <c r="D925" t="s">
        <v>26</v>
      </c>
      <c r="E925" t="s">
        <v>45</v>
      </c>
      <c r="F925" t="s">
        <v>42</v>
      </c>
      <c r="G925" t="s">
        <v>36</v>
      </c>
      <c r="H925">
        <v>205.97</v>
      </c>
      <c r="I925">
        <v>10</v>
      </c>
      <c r="J925">
        <v>2059.6999999999998</v>
      </c>
      <c r="K925" t="str">
        <f t="shared" si="70"/>
        <v>Aug</v>
      </c>
      <c r="L925" t="str">
        <f t="shared" si="71"/>
        <v>High</v>
      </c>
      <c r="M925" t="str">
        <f t="shared" si="72"/>
        <v>Good</v>
      </c>
      <c r="N925">
        <f t="shared" si="74"/>
        <v>1832.8999999999999</v>
      </c>
      <c r="O925" s="6">
        <v>0.1</v>
      </c>
      <c r="P925">
        <f t="shared" si="73"/>
        <v>1853.7299999999998</v>
      </c>
    </row>
    <row r="926" spans="1:16" x14ac:dyDescent="0.25">
      <c r="A926" t="s">
        <v>962</v>
      </c>
      <c r="B926" s="1">
        <v>45754</v>
      </c>
      <c r="C926" t="s">
        <v>25</v>
      </c>
      <c r="D926" t="s">
        <v>31</v>
      </c>
      <c r="E926" t="s">
        <v>41</v>
      </c>
      <c r="F926" t="s">
        <v>14</v>
      </c>
      <c r="G926" t="s">
        <v>15</v>
      </c>
      <c r="H926">
        <v>123.55</v>
      </c>
      <c r="I926">
        <v>14</v>
      </c>
      <c r="J926">
        <v>1729.7</v>
      </c>
      <c r="K926" t="str">
        <f t="shared" si="70"/>
        <v>Apr</v>
      </c>
      <c r="L926" t="str">
        <f t="shared" si="71"/>
        <v>Low</v>
      </c>
      <c r="M926" t="str">
        <f t="shared" si="72"/>
        <v>Good</v>
      </c>
      <c r="N926">
        <f t="shared" si="74"/>
        <v>-329.99999999999977</v>
      </c>
      <c r="O926" s="6">
        <v>0.1</v>
      </c>
      <c r="P926">
        <f t="shared" si="73"/>
        <v>1556.73</v>
      </c>
    </row>
    <row r="927" spans="1:16" x14ac:dyDescent="0.25">
      <c r="A927" t="s">
        <v>963</v>
      </c>
      <c r="B927" s="1">
        <v>45988</v>
      </c>
      <c r="C927" t="s">
        <v>38</v>
      </c>
      <c r="D927" t="s">
        <v>26</v>
      </c>
      <c r="E927" t="s">
        <v>13</v>
      </c>
      <c r="F927" t="s">
        <v>19</v>
      </c>
      <c r="G927" t="s">
        <v>36</v>
      </c>
      <c r="H927">
        <v>34.94</v>
      </c>
      <c r="I927">
        <v>13</v>
      </c>
      <c r="J927">
        <v>454.22</v>
      </c>
      <c r="K927" t="str">
        <f t="shared" si="70"/>
        <v>Nov</v>
      </c>
      <c r="L927" t="str">
        <f t="shared" si="71"/>
        <v>Low</v>
      </c>
      <c r="M927" t="str">
        <f t="shared" si="72"/>
        <v>Low</v>
      </c>
      <c r="N927">
        <f t="shared" si="74"/>
        <v>-1275.48</v>
      </c>
      <c r="O927" s="6">
        <v>0.1</v>
      </c>
      <c r="P927">
        <f t="shared" si="73"/>
        <v>408.79800000000006</v>
      </c>
    </row>
    <row r="928" spans="1:16" x14ac:dyDescent="0.25">
      <c r="A928" t="s">
        <v>964</v>
      </c>
      <c r="B928" s="1">
        <v>45978</v>
      </c>
      <c r="C928" t="s">
        <v>25</v>
      </c>
      <c r="D928" t="s">
        <v>55</v>
      </c>
      <c r="E928" t="s">
        <v>27</v>
      </c>
      <c r="F928" t="s">
        <v>28</v>
      </c>
      <c r="G928" t="s">
        <v>36</v>
      </c>
      <c r="H928">
        <v>89.11</v>
      </c>
      <c r="I928">
        <v>8</v>
      </c>
      <c r="J928">
        <v>712.88</v>
      </c>
      <c r="K928" t="str">
        <f t="shared" si="70"/>
        <v>Nov</v>
      </c>
      <c r="L928" t="str">
        <f t="shared" si="71"/>
        <v>Low</v>
      </c>
      <c r="M928" t="str">
        <f t="shared" si="72"/>
        <v>Average</v>
      </c>
      <c r="N928">
        <f t="shared" si="74"/>
        <v>258.65999999999997</v>
      </c>
      <c r="O928" s="6">
        <v>0.1</v>
      </c>
      <c r="P928">
        <f t="shared" si="73"/>
        <v>641.59199999999998</v>
      </c>
    </row>
    <row r="929" spans="1:16" x14ac:dyDescent="0.25">
      <c r="A929" t="s">
        <v>965</v>
      </c>
      <c r="B929" s="1">
        <v>45803</v>
      </c>
      <c r="C929" t="s">
        <v>34</v>
      </c>
      <c r="D929" t="s">
        <v>31</v>
      </c>
      <c r="E929" t="s">
        <v>23</v>
      </c>
      <c r="F929" t="s">
        <v>39</v>
      </c>
      <c r="G929" t="s">
        <v>15</v>
      </c>
      <c r="H929">
        <v>149.16</v>
      </c>
      <c r="I929">
        <v>18</v>
      </c>
      <c r="J929">
        <v>2684.88</v>
      </c>
      <c r="K929" t="str">
        <f t="shared" si="70"/>
        <v>May</v>
      </c>
      <c r="L929" t="str">
        <f t="shared" si="71"/>
        <v>High</v>
      </c>
      <c r="M929" t="str">
        <f t="shared" si="72"/>
        <v>Good</v>
      </c>
      <c r="N929">
        <f t="shared" si="74"/>
        <v>1972</v>
      </c>
      <c r="O929" s="6">
        <v>0.1</v>
      </c>
      <c r="P929">
        <f t="shared" si="73"/>
        <v>2416.3920000000003</v>
      </c>
    </row>
    <row r="930" spans="1:16" x14ac:dyDescent="0.25">
      <c r="A930" t="s">
        <v>966</v>
      </c>
      <c r="B930" s="1">
        <v>45751</v>
      </c>
      <c r="C930" t="s">
        <v>34</v>
      </c>
      <c r="D930" t="s">
        <v>22</v>
      </c>
      <c r="E930" t="s">
        <v>27</v>
      </c>
      <c r="F930" t="s">
        <v>61</v>
      </c>
      <c r="G930" t="s">
        <v>20</v>
      </c>
      <c r="H930">
        <v>169.37</v>
      </c>
      <c r="I930">
        <v>5</v>
      </c>
      <c r="J930">
        <v>846.85</v>
      </c>
      <c r="K930" t="str">
        <f t="shared" si="70"/>
        <v>Apr</v>
      </c>
      <c r="L930" t="str">
        <f t="shared" si="71"/>
        <v>Low</v>
      </c>
      <c r="M930" t="str">
        <f t="shared" si="72"/>
        <v>Average</v>
      </c>
      <c r="N930">
        <f t="shared" si="74"/>
        <v>-1838.0300000000002</v>
      </c>
      <c r="O930" s="6">
        <v>0.1</v>
      </c>
      <c r="P930">
        <f t="shared" si="73"/>
        <v>762.16500000000008</v>
      </c>
    </row>
    <row r="931" spans="1:16" x14ac:dyDescent="0.25">
      <c r="A931" t="s">
        <v>967</v>
      </c>
      <c r="B931" s="1">
        <v>45889</v>
      </c>
      <c r="C931" t="s">
        <v>17</v>
      </c>
      <c r="D931" t="s">
        <v>55</v>
      </c>
      <c r="E931" t="s">
        <v>41</v>
      </c>
      <c r="F931" t="s">
        <v>14</v>
      </c>
      <c r="G931" t="s">
        <v>36</v>
      </c>
      <c r="H931">
        <v>86.74</v>
      </c>
      <c r="I931">
        <v>9</v>
      </c>
      <c r="J931">
        <v>780.66</v>
      </c>
      <c r="K931" t="str">
        <f t="shared" si="70"/>
        <v>Aug</v>
      </c>
      <c r="L931" t="str">
        <f t="shared" si="71"/>
        <v>Low</v>
      </c>
      <c r="M931" t="str">
        <f t="shared" si="72"/>
        <v>Average</v>
      </c>
      <c r="N931">
        <f t="shared" si="74"/>
        <v>-66.190000000000055</v>
      </c>
      <c r="O931" s="6">
        <v>0.1</v>
      </c>
      <c r="P931">
        <f t="shared" si="73"/>
        <v>702.59399999999994</v>
      </c>
    </row>
    <row r="932" spans="1:16" x14ac:dyDescent="0.25">
      <c r="A932" t="s">
        <v>968</v>
      </c>
      <c r="B932" s="1">
        <v>45667</v>
      </c>
      <c r="C932" t="s">
        <v>11</v>
      </c>
      <c r="D932" t="s">
        <v>55</v>
      </c>
      <c r="E932" t="s">
        <v>45</v>
      </c>
      <c r="F932" t="s">
        <v>14</v>
      </c>
      <c r="G932" t="s">
        <v>15</v>
      </c>
      <c r="H932">
        <v>60.66</v>
      </c>
      <c r="I932">
        <v>5</v>
      </c>
      <c r="J932">
        <v>303.3</v>
      </c>
      <c r="K932" t="str">
        <f t="shared" si="70"/>
        <v>Jan</v>
      </c>
      <c r="L932" t="str">
        <f t="shared" si="71"/>
        <v>Low</v>
      </c>
      <c r="M932" t="str">
        <f t="shared" si="72"/>
        <v>Low</v>
      </c>
      <c r="N932">
        <f t="shared" si="74"/>
        <v>-477.35999999999996</v>
      </c>
      <c r="O932" s="6">
        <v>0.1</v>
      </c>
      <c r="P932">
        <f t="shared" si="73"/>
        <v>272.97000000000003</v>
      </c>
    </row>
    <row r="933" spans="1:16" x14ac:dyDescent="0.25">
      <c r="A933" t="s">
        <v>969</v>
      </c>
      <c r="B933" s="1">
        <v>45802</v>
      </c>
      <c r="C933" t="s">
        <v>30</v>
      </c>
      <c r="D933" t="s">
        <v>12</v>
      </c>
      <c r="E933" t="s">
        <v>41</v>
      </c>
      <c r="F933" t="s">
        <v>28</v>
      </c>
      <c r="G933" t="s">
        <v>15</v>
      </c>
      <c r="H933">
        <v>213.68</v>
      </c>
      <c r="I933">
        <v>9</v>
      </c>
      <c r="J933">
        <v>1923.12</v>
      </c>
      <c r="K933" t="str">
        <f t="shared" si="70"/>
        <v>May</v>
      </c>
      <c r="L933" t="str">
        <f t="shared" si="71"/>
        <v>Low</v>
      </c>
      <c r="M933" t="str">
        <f t="shared" si="72"/>
        <v>Good</v>
      </c>
      <c r="N933">
        <f t="shared" si="74"/>
        <v>1619.82</v>
      </c>
      <c r="O933" s="6">
        <v>0.1</v>
      </c>
      <c r="P933">
        <f t="shared" si="73"/>
        <v>1730.808</v>
      </c>
    </row>
    <row r="934" spans="1:16" x14ac:dyDescent="0.25">
      <c r="A934" t="s">
        <v>970</v>
      </c>
      <c r="B934" s="1">
        <v>45777</v>
      </c>
      <c r="C934" t="s">
        <v>30</v>
      </c>
      <c r="D934" t="s">
        <v>22</v>
      </c>
      <c r="E934" t="s">
        <v>41</v>
      </c>
      <c r="F934" t="s">
        <v>14</v>
      </c>
      <c r="G934" t="s">
        <v>36</v>
      </c>
      <c r="H934">
        <v>246.57</v>
      </c>
      <c r="I934">
        <v>3</v>
      </c>
      <c r="J934">
        <v>739.71</v>
      </c>
      <c r="K934" t="str">
        <f t="shared" si="70"/>
        <v>Apr</v>
      </c>
      <c r="L934" t="str">
        <f t="shared" si="71"/>
        <v>Low</v>
      </c>
      <c r="M934" t="str">
        <f t="shared" si="72"/>
        <v>Average</v>
      </c>
      <c r="N934">
        <f t="shared" si="74"/>
        <v>-1183.4099999999999</v>
      </c>
      <c r="O934" s="6">
        <v>0.1</v>
      </c>
      <c r="P934">
        <f t="shared" si="73"/>
        <v>665.73900000000003</v>
      </c>
    </row>
    <row r="935" spans="1:16" x14ac:dyDescent="0.25">
      <c r="A935" t="s">
        <v>971</v>
      </c>
      <c r="B935" s="1">
        <v>45873</v>
      </c>
      <c r="C935" t="s">
        <v>38</v>
      </c>
      <c r="D935" t="s">
        <v>35</v>
      </c>
      <c r="E935" t="s">
        <v>41</v>
      </c>
      <c r="F935" t="s">
        <v>28</v>
      </c>
      <c r="G935" t="s">
        <v>15</v>
      </c>
      <c r="H935">
        <v>145.65</v>
      </c>
      <c r="I935">
        <v>10</v>
      </c>
      <c r="J935">
        <v>1456.5</v>
      </c>
      <c r="K935" t="str">
        <f t="shared" si="70"/>
        <v>Aug</v>
      </c>
      <c r="L935" t="str">
        <f t="shared" si="71"/>
        <v>Low</v>
      </c>
      <c r="M935" t="str">
        <f t="shared" si="72"/>
        <v>Average</v>
      </c>
      <c r="N935">
        <f t="shared" si="74"/>
        <v>716.79</v>
      </c>
      <c r="O935" s="6">
        <v>0.1</v>
      </c>
      <c r="P935">
        <f t="shared" si="73"/>
        <v>1310.8500000000001</v>
      </c>
    </row>
    <row r="936" spans="1:16" x14ac:dyDescent="0.25">
      <c r="A936" t="s">
        <v>972</v>
      </c>
      <c r="B936" s="1">
        <v>45827</v>
      </c>
      <c r="C936" t="s">
        <v>30</v>
      </c>
      <c r="D936" t="s">
        <v>22</v>
      </c>
      <c r="E936" t="s">
        <v>13</v>
      </c>
      <c r="F936" t="s">
        <v>39</v>
      </c>
      <c r="G936" t="s">
        <v>36</v>
      </c>
      <c r="H936">
        <v>67.77</v>
      </c>
      <c r="I936">
        <v>3</v>
      </c>
      <c r="J936">
        <v>203.31</v>
      </c>
      <c r="K936" t="str">
        <f t="shared" si="70"/>
        <v>Jun</v>
      </c>
      <c r="L936" t="str">
        <f t="shared" si="71"/>
        <v>Low</v>
      </c>
      <c r="M936" t="str">
        <f t="shared" si="72"/>
        <v>Low</v>
      </c>
      <c r="N936">
        <f t="shared" si="74"/>
        <v>-1253.19</v>
      </c>
      <c r="O936" s="6">
        <v>0.1</v>
      </c>
      <c r="P936">
        <f t="shared" si="73"/>
        <v>182.97900000000001</v>
      </c>
    </row>
    <row r="937" spans="1:16" x14ac:dyDescent="0.25">
      <c r="A937" t="s">
        <v>973</v>
      </c>
      <c r="B937" s="1">
        <v>45694</v>
      </c>
      <c r="C937" t="s">
        <v>38</v>
      </c>
      <c r="D937" t="s">
        <v>26</v>
      </c>
      <c r="E937" t="s">
        <v>23</v>
      </c>
      <c r="F937" t="s">
        <v>39</v>
      </c>
      <c r="G937" t="s">
        <v>36</v>
      </c>
      <c r="H937">
        <v>89.91</v>
      </c>
      <c r="I937">
        <v>18</v>
      </c>
      <c r="J937">
        <v>1618.38</v>
      </c>
      <c r="K937" t="str">
        <f t="shared" si="70"/>
        <v>Feb</v>
      </c>
      <c r="L937" t="str">
        <f t="shared" si="71"/>
        <v>Low</v>
      </c>
      <c r="M937" t="str">
        <f t="shared" si="72"/>
        <v>Good</v>
      </c>
      <c r="N937">
        <f t="shared" si="74"/>
        <v>1415.0700000000002</v>
      </c>
      <c r="O937" s="6">
        <v>0.1</v>
      </c>
      <c r="P937">
        <f t="shared" si="73"/>
        <v>1456.5420000000001</v>
      </c>
    </row>
    <row r="938" spans="1:16" x14ac:dyDescent="0.25">
      <c r="A938" t="s">
        <v>974</v>
      </c>
      <c r="B938" s="1">
        <v>45853</v>
      </c>
      <c r="C938" t="s">
        <v>11</v>
      </c>
      <c r="D938" t="s">
        <v>12</v>
      </c>
      <c r="E938" t="s">
        <v>23</v>
      </c>
      <c r="F938" t="s">
        <v>61</v>
      </c>
      <c r="G938" t="s">
        <v>36</v>
      </c>
      <c r="H938">
        <v>34.049999999999997</v>
      </c>
      <c r="I938">
        <v>1</v>
      </c>
      <c r="J938">
        <v>34.049999999999997</v>
      </c>
      <c r="K938" t="str">
        <f t="shared" si="70"/>
        <v>Jul</v>
      </c>
      <c r="L938" t="str">
        <f t="shared" si="71"/>
        <v>Low</v>
      </c>
      <c r="M938" t="str">
        <f t="shared" si="72"/>
        <v>Low</v>
      </c>
      <c r="N938">
        <f t="shared" si="74"/>
        <v>-1584.3300000000002</v>
      </c>
      <c r="O938" s="6">
        <v>0.1</v>
      </c>
      <c r="P938">
        <f t="shared" si="73"/>
        <v>30.645</v>
      </c>
    </row>
    <row r="939" spans="1:16" x14ac:dyDescent="0.25">
      <c r="A939" t="s">
        <v>975</v>
      </c>
      <c r="B939" s="1">
        <v>45784</v>
      </c>
      <c r="C939" t="s">
        <v>30</v>
      </c>
      <c r="D939" t="s">
        <v>31</v>
      </c>
      <c r="E939" t="s">
        <v>27</v>
      </c>
      <c r="F939" t="s">
        <v>39</v>
      </c>
      <c r="G939" t="s">
        <v>15</v>
      </c>
      <c r="H939">
        <v>231.15</v>
      </c>
      <c r="I939">
        <v>2</v>
      </c>
      <c r="J939">
        <v>462.3</v>
      </c>
      <c r="K939" t="str">
        <f t="shared" si="70"/>
        <v>May</v>
      </c>
      <c r="L939" t="str">
        <f t="shared" si="71"/>
        <v>Low</v>
      </c>
      <c r="M939" t="str">
        <f t="shared" si="72"/>
        <v>Low</v>
      </c>
      <c r="N939">
        <f t="shared" si="74"/>
        <v>428.25</v>
      </c>
      <c r="O939" s="6">
        <v>0.1</v>
      </c>
      <c r="P939">
        <f t="shared" si="73"/>
        <v>416.07</v>
      </c>
    </row>
    <row r="940" spans="1:16" x14ac:dyDescent="0.25">
      <c r="A940" t="s">
        <v>976</v>
      </c>
      <c r="B940" s="1">
        <v>45924</v>
      </c>
      <c r="C940" t="s">
        <v>38</v>
      </c>
      <c r="D940" t="s">
        <v>31</v>
      </c>
      <c r="E940" t="s">
        <v>27</v>
      </c>
      <c r="F940" t="s">
        <v>32</v>
      </c>
      <c r="G940" t="s">
        <v>36</v>
      </c>
      <c r="H940">
        <v>55.91</v>
      </c>
      <c r="I940">
        <v>7</v>
      </c>
      <c r="J940">
        <v>391.37</v>
      </c>
      <c r="K940" t="str">
        <f t="shared" si="70"/>
        <v>Sep</v>
      </c>
      <c r="L940" t="str">
        <f t="shared" si="71"/>
        <v>Low</v>
      </c>
      <c r="M940" t="str">
        <f t="shared" si="72"/>
        <v>Low</v>
      </c>
      <c r="N940">
        <f t="shared" si="74"/>
        <v>-70.930000000000007</v>
      </c>
      <c r="O940" s="6">
        <v>0.1</v>
      </c>
      <c r="P940">
        <f t="shared" si="73"/>
        <v>352.233</v>
      </c>
    </row>
    <row r="941" spans="1:16" x14ac:dyDescent="0.25">
      <c r="A941" t="s">
        <v>977</v>
      </c>
      <c r="B941" s="1">
        <v>45739</v>
      </c>
      <c r="C941" t="s">
        <v>17</v>
      </c>
      <c r="D941" t="s">
        <v>55</v>
      </c>
      <c r="E941" t="s">
        <v>18</v>
      </c>
      <c r="F941" t="s">
        <v>19</v>
      </c>
      <c r="G941" t="s">
        <v>36</v>
      </c>
      <c r="H941">
        <v>156.83000000000001</v>
      </c>
      <c r="I941">
        <v>2</v>
      </c>
      <c r="J941">
        <v>313.66000000000003</v>
      </c>
      <c r="K941" t="str">
        <f t="shared" si="70"/>
        <v>Mar</v>
      </c>
      <c r="L941" t="str">
        <f t="shared" si="71"/>
        <v>Low</v>
      </c>
      <c r="M941" t="str">
        <f t="shared" si="72"/>
        <v>Low</v>
      </c>
      <c r="N941">
        <f t="shared" si="74"/>
        <v>-77.70999999999998</v>
      </c>
      <c r="O941" s="6">
        <v>0.1</v>
      </c>
      <c r="P941">
        <f t="shared" si="73"/>
        <v>282.29400000000004</v>
      </c>
    </row>
    <row r="942" spans="1:16" x14ac:dyDescent="0.25">
      <c r="A942" t="s">
        <v>978</v>
      </c>
      <c r="B942" s="1">
        <v>45904</v>
      </c>
      <c r="C942" t="s">
        <v>30</v>
      </c>
      <c r="D942" t="s">
        <v>35</v>
      </c>
      <c r="E942" t="s">
        <v>45</v>
      </c>
      <c r="F942" t="s">
        <v>39</v>
      </c>
      <c r="G942" t="s">
        <v>20</v>
      </c>
      <c r="H942">
        <v>90.29</v>
      </c>
      <c r="I942">
        <v>10</v>
      </c>
      <c r="J942">
        <v>902.9</v>
      </c>
      <c r="K942" t="str">
        <f t="shared" si="70"/>
        <v>Sep</v>
      </c>
      <c r="L942" t="str">
        <f t="shared" si="71"/>
        <v>Low</v>
      </c>
      <c r="M942" t="str">
        <f t="shared" si="72"/>
        <v>Average</v>
      </c>
      <c r="N942">
        <f t="shared" si="74"/>
        <v>589.24</v>
      </c>
      <c r="O942" s="6">
        <v>0.1</v>
      </c>
      <c r="P942">
        <f t="shared" si="73"/>
        <v>812.61</v>
      </c>
    </row>
    <row r="943" spans="1:16" x14ac:dyDescent="0.25">
      <c r="A943" t="s">
        <v>979</v>
      </c>
      <c r="B943" s="1">
        <v>45769</v>
      </c>
      <c r="C943" t="s">
        <v>30</v>
      </c>
      <c r="D943" t="s">
        <v>12</v>
      </c>
      <c r="E943" t="s">
        <v>41</v>
      </c>
      <c r="F943" t="s">
        <v>32</v>
      </c>
      <c r="G943" t="s">
        <v>15</v>
      </c>
      <c r="H943">
        <v>151.91999999999999</v>
      </c>
      <c r="I943">
        <v>4</v>
      </c>
      <c r="J943">
        <v>607.67999999999995</v>
      </c>
      <c r="K943" t="str">
        <f t="shared" si="70"/>
        <v>Apr</v>
      </c>
      <c r="L943" t="str">
        <f t="shared" si="71"/>
        <v>Low</v>
      </c>
      <c r="M943" t="str">
        <f t="shared" si="72"/>
        <v>Average</v>
      </c>
      <c r="N943">
        <f t="shared" si="74"/>
        <v>-295.22000000000003</v>
      </c>
      <c r="O943" s="6">
        <v>0.1</v>
      </c>
      <c r="P943">
        <f t="shared" si="73"/>
        <v>546.91199999999992</v>
      </c>
    </row>
    <row r="944" spans="1:16" x14ac:dyDescent="0.25">
      <c r="A944" t="s">
        <v>980</v>
      </c>
      <c r="B944" s="1">
        <v>45743</v>
      </c>
      <c r="C944" t="s">
        <v>25</v>
      </c>
      <c r="D944" t="s">
        <v>22</v>
      </c>
      <c r="E944" t="s">
        <v>41</v>
      </c>
      <c r="F944" t="s">
        <v>39</v>
      </c>
      <c r="G944" t="s">
        <v>15</v>
      </c>
      <c r="H944">
        <v>173.31</v>
      </c>
      <c r="I944">
        <v>9</v>
      </c>
      <c r="J944">
        <v>1559.79</v>
      </c>
      <c r="K944" t="str">
        <f t="shared" si="70"/>
        <v>Mar</v>
      </c>
      <c r="L944" t="str">
        <f t="shared" si="71"/>
        <v>Low</v>
      </c>
      <c r="M944" t="str">
        <f t="shared" si="72"/>
        <v>Good</v>
      </c>
      <c r="N944">
        <f t="shared" si="74"/>
        <v>952.11</v>
      </c>
      <c r="O944" s="6">
        <v>0.1</v>
      </c>
      <c r="P944">
        <f t="shared" si="73"/>
        <v>1403.8109999999999</v>
      </c>
    </row>
    <row r="945" spans="1:16" x14ac:dyDescent="0.25">
      <c r="A945" t="s">
        <v>981</v>
      </c>
      <c r="B945" s="1">
        <v>45662</v>
      </c>
      <c r="C945" t="s">
        <v>25</v>
      </c>
      <c r="D945" t="s">
        <v>12</v>
      </c>
      <c r="E945" t="s">
        <v>41</v>
      </c>
      <c r="F945" t="s">
        <v>28</v>
      </c>
      <c r="G945" t="s">
        <v>20</v>
      </c>
      <c r="H945">
        <v>212.54</v>
      </c>
      <c r="I945">
        <v>2</v>
      </c>
      <c r="J945">
        <v>425.08</v>
      </c>
      <c r="K945" t="str">
        <f t="shared" si="70"/>
        <v>Jan</v>
      </c>
      <c r="L945" t="str">
        <f t="shared" si="71"/>
        <v>Low</v>
      </c>
      <c r="M945" t="str">
        <f t="shared" si="72"/>
        <v>Low</v>
      </c>
      <c r="N945">
        <f t="shared" si="74"/>
        <v>-1134.71</v>
      </c>
      <c r="O945" s="6">
        <v>0.1</v>
      </c>
      <c r="P945">
        <f t="shared" si="73"/>
        <v>382.572</v>
      </c>
    </row>
    <row r="946" spans="1:16" x14ac:dyDescent="0.25">
      <c r="A946" t="s">
        <v>982</v>
      </c>
      <c r="B946" s="1">
        <v>45737</v>
      </c>
      <c r="C946" t="s">
        <v>11</v>
      </c>
      <c r="D946" t="s">
        <v>26</v>
      </c>
      <c r="E946" t="s">
        <v>23</v>
      </c>
      <c r="F946" t="s">
        <v>61</v>
      </c>
      <c r="G946" t="s">
        <v>15</v>
      </c>
      <c r="H946">
        <v>75.41</v>
      </c>
      <c r="I946">
        <v>12</v>
      </c>
      <c r="J946">
        <v>904.92</v>
      </c>
      <c r="K946" t="str">
        <f t="shared" si="70"/>
        <v>Mar</v>
      </c>
      <c r="L946" t="str">
        <f t="shared" si="71"/>
        <v>Low</v>
      </c>
      <c r="M946" t="str">
        <f t="shared" si="72"/>
        <v>Average</v>
      </c>
      <c r="N946">
        <f t="shared" si="74"/>
        <v>479.84</v>
      </c>
      <c r="O946" s="6">
        <v>0.1</v>
      </c>
      <c r="P946">
        <f t="shared" si="73"/>
        <v>814.428</v>
      </c>
    </row>
    <row r="947" spans="1:16" x14ac:dyDescent="0.25">
      <c r="A947" t="s">
        <v>983</v>
      </c>
      <c r="B947" s="1">
        <v>46009</v>
      </c>
      <c r="C947" t="s">
        <v>34</v>
      </c>
      <c r="D947" t="s">
        <v>12</v>
      </c>
      <c r="E947" t="s">
        <v>45</v>
      </c>
      <c r="F947" t="s">
        <v>19</v>
      </c>
      <c r="G947" t="s">
        <v>36</v>
      </c>
      <c r="H947">
        <v>32.42</v>
      </c>
      <c r="I947">
        <v>20</v>
      </c>
      <c r="J947">
        <v>648.4</v>
      </c>
      <c r="K947" t="str">
        <f t="shared" si="70"/>
        <v>Dec</v>
      </c>
      <c r="L947" t="str">
        <f t="shared" si="71"/>
        <v>Low</v>
      </c>
      <c r="M947" t="str">
        <f t="shared" si="72"/>
        <v>Average</v>
      </c>
      <c r="N947">
        <f t="shared" si="74"/>
        <v>-256.52</v>
      </c>
      <c r="O947" s="6">
        <v>0.1</v>
      </c>
      <c r="P947">
        <f t="shared" si="73"/>
        <v>583.55999999999995</v>
      </c>
    </row>
    <row r="948" spans="1:16" x14ac:dyDescent="0.25">
      <c r="A948" t="s">
        <v>984</v>
      </c>
      <c r="B948" s="1">
        <v>45988</v>
      </c>
      <c r="C948" t="s">
        <v>17</v>
      </c>
      <c r="D948" t="s">
        <v>55</v>
      </c>
      <c r="E948" t="s">
        <v>45</v>
      </c>
      <c r="F948" t="s">
        <v>14</v>
      </c>
      <c r="G948" t="s">
        <v>36</v>
      </c>
      <c r="H948">
        <v>60.11</v>
      </c>
      <c r="I948">
        <v>5</v>
      </c>
      <c r="J948">
        <v>300.55</v>
      </c>
      <c r="K948" t="str">
        <f t="shared" si="70"/>
        <v>Nov</v>
      </c>
      <c r="L948" t="str">
        <f t="shared" si="71"/>
        <v>Low</v>
      </c>
      <c r="M948" t="str">
        <f t="shared" si="72"/>
        <v>Low</v>
      </c>
      <c r="N948">
        <f t="shared" si="74"/>
        <v>-347.84999999999997</v>
      </c>
      <c r="O948" s="6">
        <v>0.1</v>
      </c>
      <c r="P948">
        <f t="shared" si="73"/>
        <v>270.495</v>
      </c>
    </row>
    <row r="949" spans="1:16" x14ac:dyDescent="0.25">
      <c r="A949" t="s">
        <v>985</v>
      </c>
      <c r="B949" s="1">
        <v>45777</v>
      </c>
      <c r="C949" t="s">
        <v>25</v>
      </c>
      <c r="D949" t="s">
        <v>12</v>
      </c>
      <c r="E949" t="s">
        <v>13</v>
      </c>
      <c r="F949" t="s">
        <v>39</v>
      </c>
      <c r="G949" t="s">
        <v>36</v>
      </c>
      <c r="H949">
        <v>228</v>
      </c>
      <c r="I949">
        <v>11</v>
      </c>
      <c r="J949">
        <v>2508</v>
      </c>
      <c r="K949" t="str">
        <f t="shared" si="70"/>
        <v>Apr</v>
      </c>
      <c r="L949" t="str">
        <f t="shared" si="71"/>
        <v>High</v>
      </c>
      <c r="M949" t="str">
        <f t="shared" si="72"/>
        <v>Good</v>
      </c>
      <c r="N949">
        <f t="shared" si="74"/>
        <v>2207.4499999999998</v>
      </c>
      <c r="O949" s="6">
        <v>0.1</v>
      </c>
      <c r="P949">
        <f t="shared" si="73"/>
        <v>2257.2000000000003</v>
      </c>
    </row>
    <row r="950" spans="1:16" x14ac:dyDescent="0.25">
      <c r="A950" t="s">
        <v>986</v>
      </c>
      <c r="B950" s="1">
        <v>45756</v>
      </c>
      <c r="C950" t="s">
        <v>17</v>
      </c>
      <c r="D950" t="s">
        <v>31</v>
      </c>
      <c r="E950" t="s">
        <v>13</v>
      </c>
      <c r="F950" t="s">
        <v>28</v>
      </c>
      <c r="G950" t="s">
        <v>15</v>
      </c>
      <c r="H950">
        <v>222.26</v>
      </c>
      <c r="I950">
        <v>1</v>
      </c>
      <c r="J950">
        <v>222.26</v>
      </c>
      <c r="K950" t="str">
        <f t="shared" si="70"/>
        <v>Apr</v>
      </c>
      <c r="L950" t="str">
        <f t="shared" si="71"/>
        <v>Low</v>
      </c>
      <c r="M950" t="str">
        <f t="shared" si="72"/>
        <v>Low</v>
      </c>
      <c r="N950">
        <f t="shared" si="74"/>
        <v>-2285.7399999999998</v>
      </c>
      <c r="O950" s="6">
        <v>0.1</v>
      </c>
      <c r="P950">
        <f t="shared" si="73"/>
        <v>200.03399999999999</v>
      </c>
    </row>
    <row r="951" spans="1:16" x14ac:dyDescent="0.25">
      <c r="A951" t="s">
        <v>987</v>
      </c>
      <c r="B951" s="1">
        <v>45786</v>
      </c>
      <c r="C951" t="s">
        <v>38</v>
      </c>
      <c r="D951" t="s">
        <v>12</v>
      </c>
      <c r="E951" t="s">
        <v>41</v>
      </c>
      <c r="F951" t="s">
        <v>42</v>
      </c>
      <c r="G951" t="s">
        <v>36</v>
      </c>
      <c r="H951">
        <v>161.43</v>
      </c>
      <c r="I951">
        <v>2</v>
      </c>
      <c r="J951">
        <v>322.86</v>
      </c>
      <c r="K951" t="str">
        <f t="shared" si="70"/>
        <v>May</v>
      </c>
      <c r="L951" t="str">
        <f t="shared" si="71"/>
        <v>Low</v>
      </c>
      <c r="M951" t="str">
        <f t="shared" si="72"/>
        <v>Low</v>
      </c>
      <c r="N951">
        <f t="shared" si="74"/>
        <v>100.60000000000002</v>
      </c>
      <c r="O951" s="6">
        <v>0.1</v>
      </c>
      <c r="P951">
        <f t="shared" si="73"/>
        <v>290.57400000000001</v>
      </c>
    </row>
    <row r="952" spans="1:16" x14ac:dyDescent="0.25">
      <c r="A952" t="s">
        <v>988</v>
      </c>
      <c r="B952" s="1">
        <v>45935</v>
      </c>
      <c r="C952" t="s">
        <v>30</v>
      </c>
      <c r="D952" t="s">
        <v>55</v>
      </c>
      <c r="E952" t="s">
        <v>23</v>
      </c>
      <c r="F952" t="s">
        <v>42</v>
      </c>
      <c r="G952" t="s">
        <v>36</v>
      </c>
      <c r="H952">
        <v>162.11000000000001</v>
      </c>
      <c r="I952">
        <v>16</v>
      </c>
      <c r="J952">
        <v>2593.7600000000002</v>
      </c>
      <c r="K952" t="str">
        <f t="shared" si="70"/>
        <v>Oct</v>
      </c>
      <c r="L952" t="str">
        <f t="shared" si="71"/>
        <v>High</v>
      </c>
      <c r="M952" t="str">
        <f t="shared" si="72"/>
        <v>Good</v>
      </c>
      <c r="N952">
        <f t="shared" si="74"/>
        <v>2270.9</v>
      </c>
      <c r="O952" s="6">
        <v>0.1</v>
      </c>
      <c r="P952">
        <f t="shared" si="73"/>
        <v>2334.3840000000005</v>
      </c>
    </row>
    <row r="953" spans="1:16" x14ac:dyDescent="0.25">
      <c r="A953" t="s">
        <v>989</v>
      </c>
      <c r="B953" s="1">
        <v>45823</v>
      </c>
      <c r="C953" t="s">
        <v>34</v>
      </c>
      <c r="D953" t="s">
        <v>55</v>
      </c>
      <c r="E953" t="s">
        <v>18</v>
      </c>
      <c r="F953" t="s">
        <v>14</v>
      </c>
      <c r="G953" t="s">
        <v>15</v>
      </c>
      <c r="H953">
        <v>176.31</v>
      </c>
      <c r="I953">
        <v>15</v>
      </c>
      <c r="J953">
        <v>2644.65</v>
      </c>
      <c r="K953" t="str">
        <f t="shared" si="70"/>
        <v>Jun</v>
      </c>
      <c r="L953" t="str">
        <f t="shared" si="71"/>
        <v>High</v>
      </c>
      <c r="M953" t="str">
        <f t="shared" si="72"/>
        <v>Good</v>
      </c>
      <c r="N953">
        <f t="shared" si="74"/>
        <v>50.889999999999873</v>
      </c>
      <c r="O953" s="6">
        <v>0.1</v>
      </c>
      <c r="P953">
        <f t="shared" si="73"/>
        <v>2380.1849999999999</v>
      </c>
    </row>
    <row r="954" spans="1:16" x14ac:dyDescent="0.25">
      <c r="A954" t="s">
        <v>990</v>
      </c>
      <c r="B954" s="1">
        <v>45929</v>
      </c>
      <c r="C954" t="s">
        <v>38</v>
      </c>
      <c r="D954" t="s">
        <v>35</v>
      </c>
      <c r="E954" t="s">
        <v>13</v>
      </c>
      <c r="F954" t="s">
        <v>42</v>
      </c>
      <c r="G954" t="s">
        <v>36</v>
      </c>
      <c r="H954">
        <v>68.58</v>
      </c>
      <c r="I954">
        <v>5</v>
      </c>
      <c r="J954">
        <v>342.9</v>
      </c>
      <c r="K954" t="str">
        <f t="shared" si="70"/>
        <v>Sep</v>
      </c>
      <c r="L954" t="str">
        <f t="shared" si="71"/>
        <v>Low</v>
      </c>
      <c r="M954" t="str">
        <f t="shared" si="72"/>
        <v>Low</v>
      </c>
      <c r="N954">
        <f t="shared" si="74"/>
        <v>-2301.75</v>
      </c>
      <c r="O954" s="6">
        <v>0.1</v>
      </c>
      <c r="P954">
        <f t="shared" si="73"/>
        <v>308.61</v>
      </c>
    </row>
    <row r="955" spans="1:16" x14ac:dyDescent="0.25">
      <c r="A955" t="s">
        <v>991</v>
      </c>
      <c r="B955" s="1">
        <v>45890</v>
      </c>
      <c r="C955" t="s">
        <v>17</v>
      </c>
      <c r="D955" t="s">
        <v>55</v>
      </c>
      <c r="E955" t="s">
        <v>41</v>
      </c>
      <c r="F955" t="s">
        <v>28</v>
      </c>
      <c r="G955" t="s">
        <v>15</v>
      </c>
      <c r="H955">
        <v>231.17</v>
      </c>
      <c r="I955">
        <v>1</v>
      </c>
      <c r="J955">
        <v>231.17</v>
      </c>
      <c r="K955" t="str">
        <f t="shared" si="70"/>
        <v>Aug</v>
      </c>
      <c r="L955" t="str">
        <f t="shared" si="71"/>
        <v>Low</v>
      </c>
      <c r="M955" t="str">
        <f t="shared" si="72"/>
        <v>Low</v>
      </c>
      <c r="N955">
        <f t="shared" si="74"/>
        <v>-111.72999999999999</v>
      </c>
      <c r="O955" s="6">
        <v>0.1</v>
      </c>
      <c r="P955">
        <f t="shared" si="73"/>
        <v>208.053</v>
      </c>
    </row>
    <row r="956" spans="1:16" x14ac:dyDescent="0.25">
      <c r="A956" t="s">
        <v>992</v>
      </c>
      <c r="B956" s="1">
        <v>45667</v>
      </c>
      <c r="C956" t="s">
        <v>34</v>
      </c>
      <c r="D956" t="s">
        <v>55</v>
      </c>
      <c r="E956" t="s">
        <v>23</v>
      </c>
      <c r="F956" t="s">
        <v>32</v>
      </c>
      <c r="G956" t="s">
        <v>20</v>
      </c>
      <c r="H956">
        <v>122.13</v>
      </c>
      <c r="I956">
        <v>20</v>
      </c>
      <c r="J956">
        <v>2442.6</v>
      </c>
      <c r="K956" t="str">
        <f t="shared" si="70"/>
        <v>Jan</v>
      </c>
      <c r="L956" t="str">
        <f t="shared" si="71"/>
        <v>High</v>
      </c>
      <c r="M956" t="str">
        <f t="shared" si="72"/>
        <v>Good</v>
      </c>
      <c r="N956">
        <f t="shared" si="74"/>
        <v>2211.4299999999998</v>
      </c>
      <c r="O956" s="6">
        <v>0.1</v>
      </c>
      <c r="P956">
        <f t="shared" si="73"/>
        <v>2198.34</v>
      </c>
    </row>
    <row r="957" spans="1:16" x14ac:dyDescent="0.25">
      <c r="A957" t="s">
        <v>993</v>
      </c>
      <c r="B957" s="1">
        <v>45690</v>
      </c>
      <c r="C957" t="s">
        <v>38</v>
      </c>
      <c r="D957" t="s">
        <v>26</v>
      </c>
      <c r="E957" t="s">
        <v>18</v>
      </c>
      <c r="F957" t="s">
        <v>28</v>
      </c>
      <c r="G957" t="s">
        <v>36</v>
      </c>
      <c r="H957">
        <v>114.29</v>
      </c>
      <c r="I957">
        <v>18</v>
      </c>
      <c r="J957">
        <v>2057.2199999999998</v>
      </c>
      <c r="K957" t="str">
        <f t="shared" si="70"/>
        <v>Feb</v>
      </c>
      <c r="L957" t="str">
        <f t="shared" si="71"/>
        <v>High</v>
      </c>
      <c r="M957" t="str">
        <f t="shared" si="72"/>
        <v>Good</v>
      </c>
      <c r="N957">
        <f t="shared" si="74"/>
        <v>-385.38000000000011</v>
      </c>
      <c r="O957" s="6">
        <v>0.1</v>
      </c>
      <c r="P957">
        <f t="shared" si="73"/>
        <v>1851.4979999999998</v>
      </c>
    </row>
    <row r="958" spans="1:16" x14ac:dyDescent="0.25">
      <c r="A958" t="s">
        <v>994</v>
      </c>
      <c r="B958" s="1">
        <v>45940</v>
      </c>
      <c r="C958" t="s">
        <v>25</v>
      </c>
      <c r="D958" t="s">
        <v>35</v>
      </c>
      <c r="E958" t="s">
        <v>13</v>
      </c>
      <c r="F958" t="s">
        <v>61</v>
      </c>
      <c r="G958" t="s">
        <v>20</v>
      </c>
      <c r="H958">
        <v>144.16</v>
      </c>
      <c r="I958">
        <v>5</v>
      </c>
      <c r="J958">
        <v>720.8</v>
      </c>
      <c r="K958" t="str">
        <f t="shared" si="70"/>
        <v>Oct</v>
      </c>
      <c r="L958" t="str">
        <f t="shared" si="71"/>
        <v>Low</v>
      </c>
      <c r="M958" t="str">
        <f t="shared" si="72"/>
        <v>Average</v>
      </c>
      <c r="N958">
        <f t="shared" si="74"/>
        <v>-1336.4199999999998</v>
      </c>
      <c r="O958" s="6">
        <v>0.1</v>
      </c>
      <c r="P958">
        <f t="shared" si="73"/>
        <v>648.72</v>
      </c>
    </row>
    <row r="959" spans="1:16" x14ac:dyDescent="0.25">
      <c r="A959" t="s">
        <v>995</v>
      </c>
      <c r="B959" s="1">
        <v>45822</v>
      </c>
      <c r="C959" t="s">
        <v>11</v>
      </c>
      <c r="D959" t="s">
        <v>55</v>
      </c>
      <c r="E959" t="s">
        <v>27</v>
      </c>
      <c r="F959" t="s">
        <v>19</v>
      </c>
      <c r="G959" t="s">
        <v>15</v>
      </c>
      <c r="H959">
        <v>40.33</v>
      </c>
      <c r="I959">
        <v>4</v>
      </c>
      <c r="J959">
        <v>161.32</v>
      </c>
      <c r="K959" t="str">
        <f t="shared" si="70"/>
        <v>Jun</v>
      </c>
      <c r="L959" t="str">
        <f t="shared" si="71"/>
        <v>Low</v>
      </c>
      <c r="M959" t="str">
        <f t="shared" si="72"/>
        <v>Low</v>
      </c>
      <c r="N959">
        <f t="shared" si="74"/>
        <v>-559.48</v>
      </c>
      <c r="O959" s="6">
        <v>0.1</v>
      </c>
      <c r="P959">
        <f t="shared" si="73"/>
        <v>145.18799999999999</v>
      </c>
    </row>
    <row r="960" spans="1:16" x14ac:dyDescent="0.25">
      <c r="A960" t="s">
        <v>996</v>
      </c>
      <c r="B960" s="1">
        <v>45724</v>
      </c>
      <c r="C960" t="s">
        <v>11</v>
      </c>
      <c r="D960" t="s">
        <v>26</v>
      </c>
      <c r="E960" t="s">
        <v>45</v>
      </c>
      <c r="F960" t="s">
        <v>61</v>
      </c>
      <c r="G960" t="s">
        <v>15</v>
      </c>
      <c r="H960">
        <v>66.58</v>
      </c>
      <c r="I960">
        <v>6</v>
      </c>
      <c r="J960">
        <v>399.48</v>
      </c>
      <c r="K960" t="str">
        <f t="shared" si="70"/>
        <v>Mar</v>
      </c>
      <c r="L960" t="str">
        <f t="shared" si="71"/>
        <v>Low</v>
      </c>
      <c r="M960" t="str">
        <f t="shared" si="72"/>
        <v>Low</v>
      </c>
      <c r="N960">
        <f t="shared" si="74"/>
        <v>238.16000000000003</v>
      </c>
      <c r="O960" s="6">
        <v>0.1</v>
      </c>
      <c r="P960">
        <f t="shared" si="73"/>
        <v>359.53200000000004</v>
      </c>
    </row>
    <row r="961" spans="1:16" x14ac:dyDescent="0.25">
      <c r="A961" t="s">
        <v>997</v>
      </c>
      <c r="B961" s="1">
        <v>45708</v>
      </c>
      <c r="C961" t="s">
        <v>25</v>
      </c>
      <c r="D961" t="s">
        <v>12</v>
      </c>
      <c r="E961" t="s">
        <v>41</v>
      </c>
      <c r="F961" t="s">
        <v>28</v>
      </c>
      <c r="G961" t="s">
        <v>36</v>
      </c>
      <c r="H961">
        <v>192.37</v>
      </c>
      <c r="I961">
        <v>2</v>
      </c>
      <c r="J961">
        <v>384.74</v>
      </c>
      <c r="K961" t="str">
        <f t="shared" si="70"/>
        <v>Feb</v>
      </c>
      <c r="L961" t="str">
        <f t="shared" si="71"/>
        <v>Low</v>
      </c>
      <c r="M961" t="str">
        <f t="shared" si="72"/>
        <v>Low</v>
      </c>
      <c r="N961">
        <f t="shared" si="74"/>
        <v>-14.740000000000009</v>
      </c>
      <c r="O961" s="6">
        <v>0.1</v>
      </c>
      <c r="P961">
        <f t="shared" si="73"/>
        <v>346.26600000000002</v>
      </c>
    </row>
    <row r="962" spans="1:16" x14ac:dyDescent="0.25">
      <c r="A962" t="s">
        <v>998</v>
      </c>
      <c r="B962" s="1">
        <v>45927</v>
      </c>
      <c r="C962" t="s">
        <v>17</v>
      </c>
      <c r="D962" t="s">
        <v>55</v>
      </c>
      <c r="E962" t="s">
        <v>13</v>
      </c>
      <c r="F962" t="s">
        <v>19</v>
      </c>
      <c r="G962" t="s">
        <v>36</v>
      </c>
      <c r="H962">
        <v>48.22</v>
      </c>
      <c r="I962">
        <v>20</v>
      </c>
      <c r="J962">
        <v>964.4</v>
      </c>
      <c r="K962" t="str">
        <f t="shared" ref="K962:K1001" si="75">TEXT(B962,"MMM")</f>
        <v>Sep</v>
      </c>
      <c r="L962" t="str">
        <f t="shared" ref="L962:L1001" si="76">IF(J962&gt;2000,"High","Low")</f>
        <v>Low</v>
      </c>
      <c r="M962" t="str">
        <f t="shared" ref="M962:M1001" si="77">IF(J962&gt;3000,"Excellent",
 IF(J962&gt;1500,"Good",
 IF(J962&gt;500,"Average","Low")))</f>
        <v>Average</v>
      </c>
      <c r="N962">
        <f t="shared" si="74"/>
        <v>579.66</v>
      </c>
      <c r="O962" s="6">
        <v>0.1</v>
      </c>
      <c r="P962">
        <f t="shared" ref="P962:P1001" si="78">J962*(1-O962)</f>
        <v>867.96</v>
      </c>
    </row>
    <row r="963" spans="1:16" x14ac:dyDescent="0.25">
      <c r="A963" t="s">
        <v>999</v>
      </c>
      <c r="B963" s="1">
        <v>45771</v>
      </c>
      <c r="C963" t="s">
        <v>17</v>
      </c>
      <c r="D963" t="s">
        <v>22</v>
      </c>
      <c r="E963" t="s">
        <v>45</v>
      </c>
      <c r="F963" t="s">
        <v>14</v>
      </c>
      <c r="G963" t="s">
        <v>20</v>
      </c>
      <c r="H963">
        <v>162.69</v>
      </c>
      <c r="I963">
        <v>20</v>
      </c>
      <c r="J963">
        <v>3253.8</v>
      </c>
      <c r="K963" t="str">
        <f t="shared" si="75"/>
        <v>Apr</v>
      </c>
      <c r="L963" t="str">
        <f t="shared" si="76"/>
        <v>High</v>
      </c>
      <c r="M963" t="str">
        <f t="shared" si="77"/>
        <v>Excellent</v>
      </c>
      <c r="N963">
        <f t="shared" ref="N963:N1001" si="79">J963-J962</f>
        <v>2289.4</v>
      </c>
      <c r="O963" s="6">
        <v>0.1</v>
      </c>
      <c r="P963">
        <f t="shared" si="78"/>
        <v>2928.42</v>
      </c>
    </row>
    <row r="964" spans="1:16" x14ac:dyDescent="0.25">
      <c r="A964" t="s">
        <v>1000</v>
      </c>
      <c r="B964" s="1">
        <v>45909</v>
      </c>
      <c r="C964" t="s">
        <v>38</v>
      </c>
      <c r="D964" t="s">
        <v>12</v>
      </c>
      <c r="E964" t="s">
        <v>45</v>
      </c>
      <c r="F964" t="s">
        <v>32</v>
      </c>
      <c r="G964" t="s">
        <v>20</v>
      </c>
      <c r="H964">
        <v>83.98</v>
      </c>
      <c r="I964">
        <v>3</v>
      </c>
      <c r="J964">
        <v>251.94</v>
      </c>
      <c r="K964" t="str">
        <f t="shared" si="75"/>
        <v>Sep</v>
      </c>
      <c r="L964" t="str">
        <f t="shared" si="76"/>
        <v>Low</v>
      </c>
      <c r="M964" t="str">
        <f t="shared" si="77"/>
        <v>Low</v>
      </c>
      <c r="N964">
        <f t="shared" si="79"/>
        <v>-3001.86</v>
      </c>
      <c r="O964" s="6">
        <v>0.1</v>
      </c>
      <c r="P964">
        <f t="shared" si="78"/>
        <v>226.74600000000001</v>
      </c>
    </row>
    <row r="965" spans="1:16" x14ac:dyDescent="0.25">
      <c r="A965" t="s">
        <v>1001</v>
      </c>
      <c r="B965" s="1">
        <v>45870</v>
      </c>
      <c r="C965" t="s">
        <v>17</v>
      </c>
      <c r="D965" t="s">
        <v>22</v>
      </c>
      <c r="E965" t="s">
        <v>18</v>
      </c>
      <c r="F965" t="s">
        <v>32</v>
      </c>
      <c r="G965" t="s">
        <v>20</v>
      </c>
      <c r="H965">
        <v>115.65</v>
      </c>
      <c r="I965">
        <v>12</v>
      </c>
      <c r="J965">
        <v>1387.8</v>
      </c>
      <c r="K965" t="str">
        <f t="shared" si="75"/>
        <v>Aug</v>
      </c>
      <c r="L965" t="str">
        <f t="shared" si="76"/>
        <v>Low</v>
      </c>
      <c r="M965" t="str">
        <f t="shared" si="77"/>
        <v>Average</v>
      </c>
      <c r="N965">
        <f t="shared" si="79"/>
        <v>1135.8599999999999</v>
      </c>
      <c r="O965" s="6">
        <v>0.1</v>
      </c>
      <c r="P965">
        <f t="shared" si="78"/>
        <v>1249.02</v>
      </c>
    </row>
    <row r="966" spans="1:16" x14ac:dyDescent="0.25">
      <c r="A966" t="s">
        <v>1002</v>
      </c>
      <c r="B966" s="1">
        <v>45678</v>
      </c>
      <c r="C966" t="s">
        <v>34</v>
      </c>
      <c r="D966" t="s">
        <v>22</v>
      </c>
      <c r="E966" t="s">
        <v>23</v>
      </c>
      <c r="F966" t="s">
        <v>42</v>
      </c>
      <c r="G966" t="s">
        <v>15</v>
      </c>
      <c r="H966">
        <v>93.51</v>
      </c>
      <c r="I966">
        <v>3</v>
      </c>
      <c r="J966">
        <v>280.52999999999997</v>
      </c>
      <c r="K966" t="str">
        <f t="shared" si="75"/>
        <v>Jan</v>
      </c>
      <c r="L966" t="str">
        <f t="shared" si="76"/>
        <v>Low</v>
      </c>
      <c r="M966" t="str">
        <f t="shared" si="77"/>
        <v>Low</v>
      </c>
      <c r="N966">
        <f t="shared" si="79"/>
        <v>-1107.27</v>
      </c>
      <c r="O966" s="6">
        <v>0.1</v>
      </c>
      <c r="P966">
        <f t="shared" si="78"/>
        <v>252.47699999999998</v>
      </c>
    </row>
    <row r="967" spans="1:16" x14ac:dyDescent="0.25">
      <c r="A967" t="s">
        <v>1003</v>
      </c>
      <c r="B967" s="1">
        <v>45709</v>
      </c>
      <c r="C967" t="s">
        <v>25</v>
      </c>
      <c r="D967" t="s">
        <v>31</v>
      </c>
      <c r="E967" t="s">
        <v>23</v>
      </c>
      <c r="F967" t="s">
        <v>14</v>
      </c>
      <c r="G967" t="s">
        <v>20</v>
      </c>
      <c r="H967">
        <v>108.25</v>
      </c>
      <c r="I967">
        <v>8</v>
      </c>
      <c r="J967">
        <v>866</v>
      </c>
      <c r="K967" t="str">
        <f t="shared" si="75"/>
        <v>Feb</v>
      </c>
      <c r="L967" t="str">
        <f t="shared" si="76"/>
        <v>Low</v>
      </c>
      <c r="M967" t="str">
        <f t="shared" si="77"/>
        <v>Average</v>
      </c>
      <c r="N967">
        <f t="shared" si="79"/>
        <v>585.47</v>
      </c>
      <c r="O967" s="6">
        <v>0.1</v>
      </c>
      <c r="P967">
        <f t="shared" si="78"/>
        <v>779.4</v>
      </c>
    </row>
    <row r="968" spans="1:16" x14ac:dyDescent="0.25">
      <c r="A968" t="s">
        <v>1004</v>
      </c>
      <c r="B968" s="1">
        <v>45994</v>
      </c>
      <c r="C968" t="s">
        <v>25</v>
      </c>
      <c r="D968" t="s">
        <v>12</v>
      </c>
      <c r="E968" t="s">
        <v>23</v>
      </c>
      <c r="F968" t="s">
        <v>42</v>
      </c>
      <c r="G968" t="s">
        <v>20</v>
      </c>
      <c r="H968">
        <v>188.19</v>
      </c>
      <c r="I968">
        <v>8</v>
      </c>
      <c r="J968">
        <v>1505.52</v>
      </c>
      <c r="K968" t="str">
        <f t="shared" si="75"/>
        <v>Dec</v>
      </c>
      <c r="L968" t="str">
        <f t="shared" si="76"/>
        <v>Low</v>
      </c>
      <c r="M968" t="str">
        <f t="shared" si="77"/>
        <v>Good</v>
      </c>
      <c r="N968">
        <f t="shared" si="79"/>
        <v>639.52</v>
      </c>
      <c r="O968" s="6">
        <v>0.1</v>
      </c>
      <c r="P968">
        <f t="shared" si="78"/>
        <v>1354.9680000000001</v>
      </c>
    </row>
    <row r="969" spans="1:16" x14ac:dyDescent="0.25">
      <c r="A969" t="s">
        <v>1005</v>
      </c>
      <c r="B969" s="1">
        <v>45943</v>
      </c>
      <c r="C969" t="s">
        <v>17</v>
      </c>
      <c r="D969" t="s">
        <v>22</v>
      </c>
      <c r="E969" t="s">
        <v>27</v>
      </c>
      <c r="F969" t="s">
        <v>42</v>
      </c>
      <c r="G969" t="s">
        <v>36</v>
      </c>
      <c r="H969">
        <v>95.37</v>
      </c>
      <c r="I969">
        <v>14</v>
      </c>
      <c r="J969">
        <v>1335.18</v>
      </c>
      <c r="K969" t="str">
        <f t="shared" si="75"/>
        <v>Oct</v>
      </c>
      <c r="L969" t="str">
        <f t="shared" si="76"/>
        <v>Low</v>
      </c>
      <c r="M969" t="str">
        <f t="shared" si="77"/>
        <v>Average</v>
      </c>
      <c r="N969">
        <f t="shared" si="79"/>
        <v>-170.33999999999992</v>
      </c>
      <c r="O969" s="6">
        <v>0.1</v>
      </c>
      <c r="P969">
        <f t="shared" si="78"/>
        <v>1201.662</v>
      </c>
    </row>
    <row r="970" spans="1:16" x14ac:dyDescent="0.25">
      <c r="A970" t="s">
        <v>1006</v>
      </c>
      <c r="B970" s="1">
        <v>46003</v>
      </c>
      <c r="C970" t="s">
        <v>17</v>
      </c>
      <c r="D970" t="s">
        <v>12</v>
      </c>
      <c r="E970" t="s">
        <v>41</v>
      </c>
      <c r="F970" t="s">
        <v>19</v>
      </c>
      <c r="G970" t="s">
        <v>15</v>
      </c>
      <c r="H970">
        <v>154.61000000000001</v>
      </c>
      <c r="I970">
        <v>15</v>
      </c>
      <c r="J970">
        <v>2319.15</v>
      </c>
      <c r="K970" t="str">
        <f t="shared" si="75"/>
        <v>Dec</v>
      </c>
      <c r="L970" t="str">
        <f t="shared" si="76"/>
        <v>High</v>
      </c>
      <c r="M970" t="str">
        <f t="shared" si="77"/>
        <v>Good</v>
      </c>
      <c r="N970">
        <f t="shared" si="79"/>
        <v>983.97</v>
      </c>
      <c r="O970" s="6">
        <v>0.1</v>
      </c>
      <c r="P970">
        <f t="shared" si="78"/>
        <v>2087.2350000000001</v>
      </c>
    </row>
    <row r="971" spans="1:16" x14ac:dyDescent="0.25">
      <c r="A971" t="s">
        <v>1007</v>
      </c>
      <c r="B971" s="1">
        <v>45750</v>
      </c>
      <c r="C971" t="s">
        <v>38</v>
      </c>
      <c r="D971" t="s">
        <v>55</v>
      </c>
      <c r="E971" t="s">
        <v>13</v>
      </c>
      <c r="F971" t="s">
        <v>28</v>
      </c>
      <c r="G971" t="s">
        <v>15</v>
      </c>
      <c r="H971">
        <v>134.72999999999999</v>
      </c>
      <c r="I971">
        <v>18</v>
      </c>
      <c r="J971">
        <v>2425.14</v>
      </c>
      <c r="K971" t="str">
        <f t="shared" si="75"/>
        <v>Apr</v>
      </c>
      <c r="L971" t="str">
        <f t="shared" si="76"/>
        <v>High</v>
      </c>
      <c r="M971" t="str">
        <f t="shared" si="77"/>
        <v>Good</v>
      </c>
      <c r="N971">
        <f t="shared" si="79"/>
        <v>105.98999999999978</v>
      </c>
      <c r="O971" s="6">
        <v>0.1</v>
      </c>
      <c r="P971">
        <f t="shared" si="78"/>
        <v>2182.6259999999997</v>
      </c>
    </row>
    <row r="972" spans="1:16" x14ac:dyDescent="0.25">
      <c r="A972" t="s">
        <v>1008</v>
      </c>
      <c r="B972" s="1">
        <v>45931</v>
      </c>
      <c r="C972" t="s">
        <v>38</v>
      </c>
      <c r="D972" t="s">
        <v>35</v>
      </c>
      <c r="E972" t="s">
        <v>13</v>
      </c>
      <c r="F972" t="s">
        <v>42</v>
      </c>
      <c r="G972" t="s">
        <v>36</v>
      </c>
      <c r="H972">
        <v>176.01</v>
      </c>
      <c r="I972">
        <v>20</v>
      </c>
      <c r="J972">
        <v>3520.2</v>
      </c>
      <c r="K972" t="str">
        <f t="shared" si="75"/>
        <v>Oct</v>
      </c>
      <c r="L972" t="str">
        <f t="shared" si="76"/>
        <v>High</v>
      </c>
      <c r="M972" t="str">
        <f t="shared" si="77"/>
        <v>Excellent</v>
      </c>
      <c r="N972">
        <f t="shared" si="79"/>
        <v>1095.06</v>
      </c>
      <c r="O972" s="6">
        <v>0.1</v>
      </c>
      <c r="P972">
        <f t="shared" si="78"/>
        <v>3168.18</v>
      </c>
    </row>
    <row r="973" spans="1:16" x14ac:dyDescent="0.25">
      <c r="A973" t="s">
        <v>1009</v>
      </c>
      <c r="B973" s="1">
        <v>45848</v>
      </c>
      <c r="C973" t="s">
        <v>17</v>
      </c>
      <c r="D973" t="s">
        <v>31</v>
      </c>
      <c r="E973" t="s">
        <v>27</v>
      </c>
      <c r="F973" t="s">
        <v>32</v>
      </c>
      <c r="G973" t="s">
        <v>20</v>
      </c>
      <c r="H973">
        <v>236.1</v>
      </c>
      <c r="I973">
        <v>14</v>
      </c>
      <c r="J973">
        <v>3305.4</v>
      </c>
      <c r="K973" t="str">
        <f t="shared" si="75"/>
        <v>Jul</v>
      </c>
      <c r="L973" t="str">
        <f t="shared" si="76"/>
        <v>High</v>
      </c>
      <c r="M973" t="str">
        <f t="shared" si="77"/>
        <v>Excellent</v>
      </c>
      <c r="N973">
        <f t="shared" si="79"/>
        <v>-214.79999999999973</v>
      </c>
      <c r="O973" s="6">
        <v>0.1</v>
      </c>
      <c r="P973">
        <f t="shared" si="78"/>
        <v>2974.86</v>
      </c>
    </row>
    <row r="974" spans="1:16" x14ac:dyDescent="0.25">
      <c r="A974" t="s">
        <v>1010</v>
      </c>
      <c r="B974" s="1">
        <v>45781</v>
      </c>
      <c r="C974" t="s">
        <v>25</v>
      </c>
      <c r="D974" t="s">
        <v>26</v>
      </c>
      <c r="E974" t="s">
        <v>41</v>
      </c>
      <c r="F974" t="s">
        <v>39</v>
      </c>
      <c r="G974" t="s">
        <v>20</v>
      </c>
      <c r="H974">
        <v>191.17</v>
      </c>
      <c r="I974">
        <v>19</v>
      </c>
      <c r="J974">
        <v>3632.23</v>
      </c>
      <c r="K974" t="str">
        <f t="shared" si="75"/>
        <v>May</v>
      </c>
      <c r="L974" t="str">
        <f t="shared" si="76"/>
        <v>High</v>
      </c>
      <c r="M974" t="str">
        <f t="shared" si="77"/>
        <v>Excellent</v>
      </c>
      <c r="N974">
        <f t="shared" si="79"/>
        <v>326.82999999999993</v>
      </c>
      <c r="O974" s="6">
        <v>0.1</v>
      </c>
      <c r="P974">
        <f t="shared" si="78"/>
        <v>3269.0070000000001</v>
      </c>
    </row>
    <row r="975" spans="1:16" x14ac:dyDescent="0.25">
      <c r="A975" t="s">
        <v>1011</v>
      </c>
      <c r="B975" s="1">
        <v>45788</v>
      </c>
      <c r="C975" t="s">
        <v>38</v>
      </c>
      <c r="D975" t="s">
        <v>31</v>
      </c>
      <c r="E975" t="s">
        <v>41</v>
      </c>
      <c r="F975" t="s">
        <v>19</v>
      </c>
      <c r="G975" t="s">
        <v>20</v>
      </c>
      <c r="H975">
        <v>77.290000000000006</v>
      </c>
      <c r="I975">
        <v>12</v>
      </c>
      <c r="J975">
        <v>927.48</v>
      </c>
      <c r="K975" t="str">
        <f t="shared" si="75"/>
        <v>May</v>
      </c>
      <c r="L975" t="str">
        <f t="shared" si="76"/>
        <v>Low</v>
      </c>
      <c r="M975" t="str">
        <f t="shared" si="77"/>
        <v>Average</v>
      </c>
      <c r="N975">
        <f t="shared" si="79"/>
        <v>-2704.75</v>
      </c>
      <c r="O975" s="6">
        <v>0.1</v>
      </c>
      <c r="P975">
        <f t="shared" si="78"/>
        <v>834.73200000000008</v>
      </c>
    </row>
    <row r="976" spans="1:16" x14ac:dyDescent="0.25">
      <c r="A976" t="s">
        <v>1012</v>
      </c>
      <c r="B976" s="1">
        <v>45675</v>
      </c>
      <c r="C976" t="s">
        <v>25</v>
      </c>
      <c r="D976" t="s">
        <v>22</v>
      </c>
      <c r="E976" t="s">
        <v>18</v>
      </c>
      <c r="F976" t="s">
        <v>14</v>
      </c>
      <c r="G976" t="s">
        <v>36</v>
      </c>
      <c r="H976">
        <v>36.86</v>
      </c>
      <c r="I976">
        <v>10</v>
      </c>
      <c r="J976">
        <v>368.6</v>
      </c>
      <c r="K976" t="str">
        <f t="shared" si="75"/>
        <v>Jan</v>
      </c>
      <c r="L976" t="str">
        <f t="shared" si="76"/>
        <v>Low</v>
      </c>
      <c r="M976" t="str">
        <f t="shared" si="77"/>
        <v>Low</v>
      </c>
      <c r="N976">
        <f t="shared" si="79"/>
        <v>-558.88</v>
      </c>
      <c r="O976" s="6">
        <v>0.1</v>
      </c>
      <c r="P976">
        <f t="shared" si="78"/>
        <v>331.74</v>
      </c>
    </row>
    <row r="977" spans="1:16" x14ac:dyDescent="0.25">
      <c r="A977" t="s">
        <v>1013</v>
      </c>
      <c r="B977" s="1">
        <v>45661</v>
      </c>
      <c r="C977" t="s">
        <v>30</v>
      </c>
      <c r="D977" t="s">
        <v>26</v>
      </c>
      <c r="E977" t="s">
        <v>13</v>
      </c>
      <c r="F977" t="s">
        <v>19</v>
      </c>
      <c r="G977" t="s">
        <v>20</v>
      </c>
      <c r="H977">
        <v>87.7</v>
      </c>
      <c r="I977">
        <v>10</v>
      </c>
      <c r="J977">
        <v>877</v>
      </c>
      <c r="K977" t="str">
        <f t="shared" si="75"/>
        <v>Jan</v>
      </c>
      <c r="L977" t="str">
        <f t="shared" si="76"/>
        <v>Low</v>
      </c>
      <c r="M977" t="str">
        <f t="shared" si="77"/>
        <v>Average</v>
      </c>
      <c r="N977">
        <f t="shared" si="79"/>
        <v>508.4</v>
      </c>
      <c r="O977" s="6">
        <v>0.1</v>
      </c>
      <c r="P977">
        <f t="shared" si="78"/>
        <v>789.30000000000007</v>
      </c>
    </row>
    <row r="978" spans="1:16" x14ac:dyDescent="0.25">
      <c r="A978" t="s">
        <v>1014</v>
      </c>
      <c r="B978" s="1">
        <v>45799</v>
      </c>
      <c r="C978" t="s">
        <v>25</v>
      </c>
      <c r="D978" t="s">
        <v>55</v>
      </c>
      <c r="E978" t="s">
        <v>18</v>
      </c>
      <c r="F978" t="s">
        <v>42</v>
      </c>
      <c r="G978" t="s">
        <v>15</v>
      </c>
      <c r="H978">
        <v>160.91999999999999</v>
      </c>
      <c r="I978">
        <v>18</v>
      </c>
      <c r="J978">
        <v>2896.56</v>
      </c>
      <c r="K978" t="str">
        <f t="shared" si="75"/>
        <v>May</v>
      </c>
      <c r="L978" t="str">
        <f t="shared" si="76"/>
        <v>High</v>
      </c>
      <c r="M978" t="str">
        <f t="shared" si="77"/>
        <v>Good</v>
      </c>
      <c r="N978">
        <f t="shared" si="79"/>
        <v>2019.56</v>
      </c>
      <c r="O978" s="6">
        <v>0.1</v>
      </c>
      <c r="P978">
        <f t="shared" si="78"/>
        <v>2606.904</v>
      </c>
    </row>
    <row r="979" spans="1:16" x14ac:dyDescent="0.25">
      <c r="A979" t="s">
        <v>1015</v>
      </c>
      <c r="B979" s="1">
        <v>45706</v>
      </c>
      <c r="C979" t="s">
        <v>38</v>
      </c>
      <c r="D979" t="s">
        <v>35</v>
      </c>
      <c r="E979" t="s">
        <v>23</v>
      </c>
      <c r="F979" t="s">
        <v>14</v>
      </c>
      <c r="G979" t="s">
        <v>36</v>
      </c>
      <c r="H979">
        <v>41.31</v>
      </c>
      <c r="I979">
        <v>2</v>
      </c>
      <c r="J979">
        <v>82.62</v>
      </c>
      <c r="K979" t="str">
        <f t="shared" si="75"/>
        <v>Feb</v>
      </c>
      <c r="L979" t="str">
        <f t="shared" si="76"/>
        <v>Low</v>
      </c>
      <c r="M979" t="str">
        <f t="shared" si="77"/>
        <v>Low</v>
      </c>
      <c r="N979">
        <f t="shared" si="79"/>
        <v>-2813.94</v>
      </c>
      <c r="O979" s="6">
        <v>0.1</v>
      </c>
      <c r="P979">
        <f t="shared" si="78"/>
        <v>74.358000000000004</v>
      </c>
    </row>
    <row r="980" spans="1:16" x14ac:dyDescent="0.25">
      <c r="A980" t="s">
        <v>1016</v>
      </c>
      <c r="B980" s="1">
        <v>45845</v>
      </c>
      <c r="C980" t="s">
        <v>30</v>
      </c>
      <c r="D980" t="s">
        <v>26</v>
      </c>
      <c r="E980" t="s">
        <v>13</v>
      </c>
      <c r="F980" t="s">
        <v>39</v>
      </c>
      <c r="G980" t="s">
        <v>36</v>
      </c>
      <c r="H980">
        <v>139.19999999999999</v>
      </c>
      <c r="I980">
        <v>19</v>
      </c>
      <c r="J980">
        <v>2644.8</v>
      </c>
      <c r="K980" t="str">
        <f t="shared" si="75"/>
        <v>Jul</v>
      </c>
      <c r="L980" t="str">
        <f t="shared" si="76"/>
        <v>High</v>
      </c>
      <c r="M980" t="str">
        <f t="shared" si="77"/>
        <v>Good</v>
      </c>
      <c r="N980">
        <f t="shared" si="79"/>
        <v>2562.1800000000003</v>
      </c>
      <c r="O980" s="6">
        <v>0.1</v>
      </c>
      <c r="P980">
        <f t="shared" si="78"/>
        <v>2380.3200000000002</v>
      </c>
    </row>
    <row r="981" spans="1:16" x14ac:dyDescent="0.25">
      <c r="A981" t="s">
        <v>1017</v>
      </c>
      <c r="B981" s="1">
        <v>45705</v>
      </c>
      <c r="C981" t="s">
        <v>38</v>
      </c>
      <c r="D981" t="s">
        <v>55</v>
      </c>
      <c r="E981" t="s">
        <v>23</v>
      </c>
      <c r="F981" t="s">
        <v>28</v>
      </c>
      <c r="G981" t="s">
        <v>15</v>
      </c>
      <c r="H981">
        <v>161.31</v>
      </c>
      <c r="I981">
        <v>19</v>
      </c>
      <c r="J981">
        <v>3064.89</v>
      </c>
      <c r="K981" t="str">
        <f t="shared" si="75"/>
        <v>Feb</v>
      </c>
      <c r="L981" t="str">
        <f t="shared" si="76"/>
        <v>High</v>
      </c>
      <c r="M981" t="str">
        <f t="shared" si="77"/>
        <v>Excellent</v>
      </c>
      <c r="N981">
        <f t="shared" si="79"/>
        <v>420.08999999999969</v>
      </c>
      <c r="O981" s="6">
        <v>0.1</v>
      </c>
      <c r="P981">
        <f t="shared" si="78"/>
        <v>2758.4009999999998</v>
      </c>
    </row>
    <row r="982" spans="1:16" x14ac:dyDescent="0.25">
      <c r="A982" t="s">
        <v>1018</v>
      </c>
      <c r="B982" s="1">
        <v>45824</v>
      </c>
      <c r="C982" t="s">
        <v>30</v>
      </c>
      <c r="D982" t="s">
        <v>31</v>
      </c>
      <c r="E982" t="s">
        <v>27</v>
      </c>
      <c r="F982" t="s">
        <v>28</v>
      </c>
      <c r="G982" t="s">
        <v>20</v>
      </c>
      <c r="H982">
        <v>103.53</v>
      </c>
      <c r="I982">
        <v>16</v>
      </c>
      <c r="J982">
        <v>1656.48</v>
      </c>
      <c r="K982" t="str">
        <f t="shared" si="75"/>
        <v>Jun</v>
      </c>
      <c r="L982" t="str">
        <f t="shared" si="76"/>
        <v>Low</v>
      </c>
      <c r="M982" t="str">
        <f t="shared" si="77"/>
        <v>Good</v>
      </c>
      <c r="N982">
        <f t="shared" si="79"/>
        <v>-1408.4099999999999</v>
      </c>
      <c r="O982" s="6">
        <v>0.1</v>
      </c>
      <c r="P982">
        <f t="shared" si="78"/>
        <v>1490.8320000000001</v>
      </c>
    </row>
    <row r="983" spans="1:16" x14ac:dyDescent="0.25">
      <c r="A983" t="s">
        <v>1019</v>
      </c>
      <c r="B983" s="1">
        <v>45706</v>
      </c>
      <c r="C983" t="s">
        <v>17</v>
      </c>
      <c r="D983" t="s">
        <v>35</v>
      </c>
      <c r="E983" t="s">
        <v>45</v>
      </c>
      <c r="F983" t="s">
        <v>28</v>
      </c>
      <c r="G983" t="s">
        <v>20</v>
      </c>
      <c r="H983">
        <v>199.6</v>
      </c>
      <c r="I983">
        <v>20</v>
      </c>
      <c r="J983">
        <v>3992</v>
      </c>
      <c r="K983" t="str">
        <f t="shared" si="75"/>
        <v>Feb</v>
      </c>
      <c r="L983" t="str">
        <f t="shared" si="76"/>
        <v>High</v>
      </c>
      <c r="M983" t="str">
        <f t="shared" si="77"/>
        <v>Excellent</v>
      </c>
      <c r="N983">
        <f t="shared" si="79"/>
        <v>2335.52</v>
      </c>
      <c r="O983" s="6">
        <v>0.1</v>
      </c>
      <c r="P983">
        <f t="shared" si="78"/>
        <v>3592.8</v>
      </c>
    </row>
    <row r="984" spans="1:16" x14ac:dyDescent="0.25">
      <c r="A984" t="s">
        <v>1020</v>
      </c>
      <c r="B984" s="1">
        <v>45853</v>
      </c>
      <c r="C984" t="s">
        <v>11</v>
      </c>
      <c r="D984" t="s">
        <v>35</v>
      </c>
      <c r="E984" t="s">
        <v>13</v>
      </c>
      <c r="F984" t="s">
        <v>39</v>
      </c>
      <c r="G984" t="s">
        <v>36</v>
      </c>
      <c r="H984">
        <v>53.45</v>
      </c>
      <c r="I984">
        <v>3</v>
      </c>
      <c r="J984">
        <v>160.35</v>
      </c>
      <c r="K984" t="str">
        <f t="shared" si="75"/>
        <v>Jul</v>
      </c>
      <c r="L984" t="str">
        <f t="shared" si="76"/>
        <v>Low</v>
      </c>
      <c r="M984" t="str">
        <f t="shared" si="77"/>
        <v>Low</v>
      </c>
      <c r="N984">
        <f t="shared" si="79"/>
        <v>-3831.65</v>
      </c>
      <c r="O984" s="6">
        <v>0.1</v>
      </c>
      <c r="P984">
        <f t="shared" si="78"/>
        <v>144.315</v>
      </c>
    </row>
    <row r="985" spans="1:16" x14ac:dyDescent="0.25">
      <c r="A985" t="s">
        <v>1021</v>
      </c>
      <c r="B985" s="1">
        <v>45871</v>
      </c>
      <c r="C985" t="s">
        <v>30</v>
      </c>
      <c r="D985" t="s">
        <v>12</v>
      </c>
      <c r="E985" t="s">
        <v>27</v>
      </c>
      <c r="F985" t="s">
        <v>39</v>
      </c>
      <c r="G985" t="s">
        <v>20</v>
      </c>
      <c r="H985">
        <v>46.53</v>
      </c>
      <c r="I985">
        <v>4</v>
      </c>
      <c r="J985">
        <v>186.12</v>
      </c>
      <c r="K985" t="str">
        <f t="shared" si="75"/>
        <v>Aug</v>
      </c>
      <c r="L985" t="str">
        <f t="shared" si="76"/>
        <v>Low</v>
      </c>
      <c r="M985" t="str">
        <f t="shared" si="77"/>
        <v>Low</v>
      </c>
      <c r="N985">
        <f t="shared" si="79"/>
        <v>25.77000000000001</v>
      </c>
      <c r="O985" s="6">
        <v>0.1</v>
      </c>
      <c r="P985">
        <f t="shared" si="78"/>
        <v>167.50800000000001</v>
      </c>
    </row>
    <row r="986" spans="1:16" x14ac:dyDescent="0.25">
      <c r="A986" t="s">
        <v>1022</v>
      </c>
      <c r="B986" s="1">
        <v>45663</v>
      </c>
      <c r="C986" t="s">
        <v>11</v>
      </c>
      <c r="D986" t="s">
        <v>35</v>
      </c>
      <c r="E986" t="s">
        <v>18</v>
      </c>
      <c r="F986" t="s">
        <v>19</v>
      </c>
      <c r="G986" t="s">
        <v>36</v>
      </c>
      <c r="H986">
        <v>190.2</v>
      </c>
      <c r="I986">
        <v>13</v>
      </c>
      <c r="J986">
        <v>2472.6</v>
      </c>
      <c r="K986" t="str">
        <f t="shared" si="75"/>
        <v>Jan</v>
      </c>
      <c r="L986" t="str">
        <f t="shared" si="76"/>
        <v>High</v>
      </c>
      <c r="M986" t="str">
        <f t="shared" si="77"/>
        <v>Good</v>
      </c>
      <c r="N986">
        <f t="shared" si="79"/>
        <v>2286.48</v>
      </c>
      <c r="O986" s="6">
        <v>0.1</v>
      </c>
      <c r="P986">
        <f t="shared" si="78"/>
        <v>2225.34</v>
      </c>
    </row>
    <row r="987" spans="1:16" x14ac:dyDescent="0.25">
      <c r="A987" t="s">
        <v>1023</v>
      </c>
      <c r="B987" s="1">
        <v>45934</v>
      </c>
      <c r="C987" t="s">
        <v>30</v>
      </c>
      <c r="D987" t="s">
        <v>35</v>
      </c>
      <c r="E987" t="s">
        <v>18</v>
      </c>
      <c r="F987" t="s">
        <v>28</v>
      </c>
      <c r="G987" t="s">
        <v>15</v>
      </c>
      <c r="H987">
        <v>139.01</v>
      </c>
      <c r="I987">
        <v>19</v>
      </c>
      <c r="J987">
        <v>2641.19</v>
      </c>
      <c r="K987" t="str">
        <f t="shared" si="75"/>
        <v>Oct</v>
      </c>
      <c r="L987" t="str">
        <f t="shared" si="76"/>
        <v>High</v>
      </c>
      <c r="M987" t="str">
        <f t="shared" si="77"/>
        <v>Good</v>
      </c>
      <c r="N987">
        <f t="shared" si="79"/>
        <v>168.59000000000015</v>
      </c>
      <c r="O987" s="6">
        <v>0.1</v>
      </c>
      <c r="P987">
        <f t="shared" si="78"/>
        <v>2377.0709999999999</v>
      </c>
    </row>
    <row r="988" spans="1:16" x14ac:dyDescent="0.25">
      <c r="A988" t="s">
        <v>1024</v>
      </c>
      <c r="B988" s="1">
        <v>45736</v>
      </c>
      <c r="C988" t="s">
        <v>17</v>
      </c>
      <c r="D988" t="s">
        <v>12</v>
      </c>
      <c r="E988" t="s">
        <v>41</v>
      </c>
      <c r="F988" t="s">
        <v>61</v>
      </c>
      <c r="G988" t="s">
        <v>20</v>
      </c>
      <c r="H988">
        <v>181.45</v>
      </c>
      <c r="I988">
        <v>2</v>
      </c>
      <c r="J988">
        <v>362.9</v>
      </c>
      <c r="K988" t="str">
        <f t="shared" si="75"/>
        <v>Mar</v>
      </c>
      <c r="L988" t="str">
        <f t="shared" si="76"/>
        <v>Low</v>
      </c>
      <c r="M988" t="str">
        <f t="shared" si="77"/>
        <v>Low</v>
      </c>
      <c r="N988">
        <f t="shared" si="79"/>
        <v>-2278.29</v>
      </c>
      <c r="O988" s="6">
        <v>0.1</v>
      </c>
      <c r="P988">
        <f t="shared" si="78"/>
        <v>326.61</v>
      </c>
    </row>
    <row r="989" spans="1:16" x14ac:dyDescent="0.25">
      <c r="A989" t="s">
        <v>1025</v>
      </c>
      <c r="B989" s="1">
        <v>45952</v>
      </c>
      <c r="C989" t="s">
        <v>11</v>
      </c>
      <c r="D989" t="s">
        <v>26</v>
      </c>
      <c r="E989" t="s">
        <v>41</v>
      </c>
      <c r="F989" t="s">
        <v>32</v>
      </c>
      <c r="G989" t="s">
        <v>36</v>
      </c>
      <c r="H989">
        <v>125.66</v>
      </c>
      <c r="I989">
        <v>17</v>
      </c>
      <c r="J989">
        <v>2136.2199999999998</v>
      </c>
      <c r="K989" t="str">
        <f t="shared" si="75"/>
        <v>Oct</v>
      </c>
      <c r="L989" t="str">
        <f t="shared" si="76"/>
        <v>High</v>
      </c>
      <c r="M989" t="str">
        <f t="shared" si="77"/>
        <v>Good</v>
      </c>
      <c r="N989">
        <f t="shared" si="79"/>
        <v>1773.3199999999997</v>
      </c>
      <c r="O989" s="6">
        <v>0.1</v>
      </c>
      <c r="P989">
        <f t="shared" si="78"/>
        <v>1922.598</v>
      </c>
    </row>
    <row r="990" spans="1:16" x14ac:dyDescent="0.25">
      <c r="A990" t="s">
        <v>1026</v>
      </c>
      <c r="B990" s="1">
        <v>45733</v>
      </c>
      <c r="C990" t="s">
        <v>34</v>
      </c>
      <c r="D990" t="s">
        <v>22</v>
      </c>
      <c r="E990" t="s">
        <v>41</v>
      </c>
      <c r="F990" t="s">
        <v>42</v>
      </c>
      <c r="G990" t="s">
        <v>20</v>
      </c>
      <c r="H990">
        <v>84.21</v>
      </c>
      <c r="I990">
        <v>5</v>
      </c>
      <c r="J990">
        <v>421.05</v>
      </c>
      <c r="K990" t="str">
        <f t="shared" si="75"/>
        <v>Mar</v>
      </c>
      <c r="L990" t="str">
        <f t="shared" si="76"/>
        <v>Low</v>
      </c>
      <c r="M990" t="str">
        <f t="shared" si="77"/>
        <v>Low</v>
      </c>
      <c r="N990">
        <f t="shared" si="79"/>
        <v>-1715.1699999999998</v>
      </c>
      <c r="O990" s="6">
        <v>0.1</v>
      </c>
      <c r="P990">
        <f t="shared" si="78"/>
        <v>378.94499999999999</v>
      </c>
    </row>
    <row r="991" spans="1:16" x14ac:dyDescent="0.25">
      <c r="A991" t="s">
        <v>1027</v>
      </c>
      <c r="B991" s="1">
        <v>45683</v>
      </c>
      <c r="C991" t="s">
        <v>38</v>
      </c>
      <c r="D991" t="s">
        <v>35</v>
      </c>
      <c r="E991" t="s">
        <v>45</v>
      </c>
      <c r="F991" t="s">
        <v>61</v>
      </c>
      <c r="G991" t="s">
        <v>20</v>
      </c>
      <c r="H991">
        <v>210.2</v>
      </c>
      <c r="I991">
        <v>18</v>
      </c>
      <c r="J991">
        <v>3783.6</v>
      </c>
      <c r="K991" t="str">
        <f t="shared" si="75"/>
        <v>Jan</v>
      </c>
      <c r="L991" t="str">
        <f t="shared" si="76"/>
        <v>High</v>
      </c>
      <c r="M991" t="str">
        <f t="shared" si="77"/>
        <v>Excellent</v>
      </c>
      <c r="N991">
        <f t="shared" si="79"/>
        <v>3362.5499999999997</v>
      </c>
      <c r="O991" s="6">
        <v>0.1</v>
      </c>
      <c r="P991">
        <f t="shared" si="78"/>
        <v>3405.24</v>
      </c>
    </row>
    <row r="992" spans="1:16" x14ac:dyDescent="0.25">
      <c r="A992" t="s">
        <v>1028</v>
      </c>
      <c r="B992" s="1">
        <v>45880</v>
      </c>
      <c r="C992" t="s">
        <v>30</v>
      </c>
      <c r="D992" t="s">
        <v>31</v>
      </c>
      <c r="E992" t="s">
        <v>18</v>
      </c>
      <c r="F992" t="s">
        <v>14</v>
      </c>
      <c r="G992" t="s">
        <v>36</v>
      </c>
      <c r="H992">
        <v>205.87</v>
      </c>
      <c r="I992">
        <v>5</v>
      </c>
      <c r="J992">
        <v>1029.3499999999999</v>
      </c>
      <c r="K992" t="str">
        <f t="shared" si="75"/>
        <v>Aug</v>
      </c>
      <c r="L992" t="str">
        <f t="shared" si="76"/>
        <v>Low</v>
      </c>
      <c r="M992" t="str">
        <f t="shared" si="77"/>
        <v>Average</v>
      </c>
      <c r="N992">
        <f t="shared" si="79"/>
        <v>-2754.25</v>
      </c>
      <c r="O992" s="6">
        <v>0.1</v>
      </c>
      <c r="P992">
        <f t="shared" si="78"/>
        <v>926.41499999999996</v>
      </c>
    </row>
    <row r="993" spans="1:16" x14ac:dyDescent="0.25">
      <c r="A993" t="s">
        <v>1029</v>
      </c>
      <c r="B993" s="1">
        <v>45860</v>
      </c>
      <c r="C993" t="s">
        <v>30</v>
      </c>
      <c r="D993" t="s">
        <v>55</v>
      </c>
      <c r="E993" t="s">
        <v>18</v>
      </c>
      <c r="F993" t="s">
        <v>28</v>
      </c>
      <c r="G993" t="s">
        <v>20</v>
      </c>
      <c r="H993">
        <v>182.83</v>
      </c>
      <c r="I993">
        <v>19</v>
      </c>
      <c r="J993">
        <v>3473.77</v>
      </c>
      <c r="K993" t="str">
        <f t="shared" si="75"/>
        <v>Jul</v>
      </c>
      <c r="L993" t="str">
        <f t="shared" si="76"/>
        <v>High</v>
      </c>
      <c r="M993" t="str">
        <f t="shared" si="77"/>
        <v>Excellent</v>
      </c>
      <c r="N993">
        <f t="shared" si="79"/>
        <v>2444.42</v>
      </c>
      <c r="O993" s="6">
        <v>0.1</v>
      </c>
      <c r="P993">
        <f t="shared" si="78"/>
        <v>3126.393</v>
      </c>
    </row>
    <row r="994" spans="1:16" x14ac:dyDescent="0.25">
      <c r="A994" t="s">
        <v>1030</v>
      </c>
      <c r="B994" s="1">
        <v>45784</v>
      </c>
      <c r="C994" t="s">
        <v>11</v>
      </c>
      <c r="D994" t="s">
        <v>35</v>
      </c>
      <c r="E994" t="s">
        <v>41</v>
      </c>
      <c r="F994" t="s">
        <v>32</v>
      </c>
      <c r="G994" t="s">
        <v>20</v>
      </c>
      <c r="H994">
        <v>89.87</v>
      </c>
      <c r="I994">
        <v>8</v>
      </c>
      <c r="J994">
        <v>718.96</v>
      </c>
      <c r="K994" t="str">
        <f t="shared" si="75"/>
        <v>May</v>
      </c>
      <c r="L994" t="str">
        <f t="shared" si="76"/>
        <v>Low</v>
      </c>
      <c r="M994" t="str">
        <f t="shared" si="77"/>
        <v>Average</v>
      </c>
      <c r="N994">
        <f t="shared" si="79"/>
        <v>-2754.81</v>
      </c>
      <c r="O994" s="6">
        <v>0.1</v>
      </c>
      <c r="P994">
        <f t="shared" si="78"/>
        <v>647.06400000000008</v>
      </c>
    </row>
    <row r="995" spans="1:16" x14ac:dyDescent="0.25">
      <c r="A995" t="s">
        <v>1031</v>
      </c>
      <c r="B995" s="1">
        <v>45952</v>
      </c>
      <c r="C995" t="s">
        <v>11</v>
      </c>
      <c r="D995" t="s">
        <v>12</v>
      </c>
      <c r="E995" t="s">
        <v>41</v>
      </c>
      <c r="F995" t="s">
        <v>61</v>
      </c>
      <c r="G995" t="s">
        <v>36</v>
      </c>
      <c r="H995">
        <v>159.85</v>
      </c>
      <c r="I995">
        <v>3</v>
      </c>
      <c r="J995">
        <v>479.55</v>
      </c>
      <c r="K995" t="str">
        <f t="shared" si="75"/>
        <v>Oct</v>
      </c>
      <c r="L995" t="str">
        <f t="shared" si="76"/>
        <v>Low</v>
      </c>
      <c r="M995" t="str">
        <f t="shared" si="77"/>
        <v>Low</v>
      </c>
      <c r="N995">
        <f t="shared" si="79"/>
        <v>-239.41000000000003</v>
      </c>
      <c r="O995" s="6">
        <v>0.1</v>
      </c>
      <c r="P995">
        <f t="shared" si="78"/>
        <v>431.59500000000003</v>
      </c>
    </row>
    <row r="996" spans="1:16" x14ac:dyDescent="0.25">
      <c r="A996" t="s">
        <v>1032</v>
      </c>
      <c r="B996" s="1">
        <v>45836</v>
      </c>
      <c r="C996" t="s">
        <v>34</v>
      </c>
      <c r="D996" t="s">
        <v>35</v>
      </c>
      <c r="E996" t="s">
        <v>18</v>
      </c>
      <c r="F996" t="s">
        <v>28</v>
      </c>
      <c r="G996" t="s">
        <v>15</v>
      </c>
      <c r="H996">
        <v>109.41</v>
      </c>
      <c r="I996">
        <v>7</v>
      </c>
      <c r="J996">
        <v>765.87</v>
      </c>
      <c r="K996" t="str">
        <f t="shared" si="75"/>
        <v>Jun</v>
      </c>
      <c r="L996" t="str">
        <f t="shared" si="76"/>
        <v>Low</v>
      </c>
      <c r="M996" t="str">
        <f t="shared" si="77"/>
        <v>Average</v>
      </c>
      <c r="N996">
        <f t="shared" si="79"/>
        <v>286.32</v>
      </c>
      <c r="O996" s="6">
        <v>0.1</v>
      </c>
      <c r="P996">
        <f t="shared" si="78"/>
        <v>689.28300000000002</v>
      </c>
    </row>
    <row r="997" spans="1:16" x14ac:dyDescent="0.25">
      <c r="A997" t="s">
        <v>1033</v>
      </c>
      <c r="B997" s="1">
        <v>45814</v>
      </c>
      <c r="C997" t="s">
        <v>34</v>
      </c>
      <c r="D997" t="s">
        <v>55</v>
      </c>
      <c r="E997" t="s">
        <v>41</v>
      </c>
      <c r="F997" t="s">
        <v>42</v>
      </c>
      <c r="G997" t="s">
        <v>15</v>
      </c>
      <c r="H997">
        <v>50.15</v>
      </c>
      <c r="I997">
        <v>6</v>
      </c>
      <c r="J997">
        <v>300.89999999999998</v>
      </c>
      <c r="K997" t="str">
        <f t="shared" si="75"/>
        <v>Jun</v>
      </c>
      <c r="L997" t="str">
        <f t="shared" si="76"/>
        <v>Low</v>
      </c>
      <c r="M997" t="str">
        <f t="shared" si="77"/>
        <v>Low</v>
      </c>
      <c r="N997">
        <f t="shared" si="79"/>
        <v>-464.97</v>
      </c>
      <c r="O997" s="6">
        <v>0.1</v>
      </c>
      <c r="P997">
        <f t="shared" si="78"/>
        <v>270.81</v>
      </c>
    </row>
    <row r="998" spans="1:16" x14ac:dyDescent="0.25">
      <c r="A998" t="s">
        <v>1034</v>
      </c>
      <c r="B998" s="1">
        <v>45883</v>
      </c>
      <c r="C998" t="s">
        <v>30</v>
      </c>
      <c r="D998" t="s">
        <v>26</v>
      </c>
      <c r="E998" t="s">
        <v>27</v>
      </c>
      <c r="F998" t="s">
        <v>32</v>
      </c>
      <c r="G998" t="s">
        <v>15</v>
      </c>
      <c r="H998">
        <v>231.81</v>
      </c>
      <c r="I998">
        <v>2</v>
      </c>
      <c r="J998">
        <v>463.62</v>
      </c>
      <c r="K998" t="str">
        <f t="shared" si="75"/>
        <v>Aug</v>
      </c>
      <c r="L998" t="str">
        <f t="shared" si="76"/>
        <v>Low</v>
      </c>
      <c r="M998" t="str">
        <f t="shared" si="77"/>
        <v>Low</v>
      </c>
      <c r="N998">
        <f t="shared" si="79"/>
        <v>162.72000000000003</v>
      </c>
      <c r="O998" s="6">
        <v>0.1</v>
      </c>
      <c r="P998">
        <f t="shared" si="78"/>
        <v>417.25800000000004</v>
      </c>
    </row>
    <row r="999" spans="1:16" x14ac:dyDescent="0.25">
      <c r="A999" t="s">
        <v>1035</v>
      </c>
      <c r="B999" s="1">
        <v>45701</v>
      </c>
      <c r="C999" t="s">
        <v>17</v>
      </c>
      <c r="D999" t="s">
        <v>22</v>
      </c>
      <c r="E999" t="s">
        <v>23</v>
      </c>
      <c r="F999" t="s">
        <v>42</v>
      </c>
      <c r="G999" t="s">
        <v>15</v>
      </c>
      <c r="H999">
        <v>60.1</v>
      </c>
      <c r="I999">
        <v>4</v>
      </c>
      <c r="J999">
        <v>240.4</v>
      </c>
      <c r="K999" t="str">
        <f t="shared" si="75"/>
        <v>Feb</v>
      </c>
      <c r="L999" t="str">
        <f t="shared" si="76"/>
        <v>Low</v>
      </c>
      <c r="M999" t="str">
        <f t="shared" si="77"/>
        <v>Low</v>
      </c>
      <c r="N999">
        <f t="shared" si="79"/>
        <v>-223.22</v>
      </c>
      <c r="O999" s="6">
        <v>0.1</v>
      </c>
      <c r="P999">
        <f t="shared" si="78"/>
        <v>216.36</v>
      </c>
    </row>
    <row r="1000" spans="1:16" x14ac:dyDescent="0.25">
      <c r="A1000" t="s">
        <v>1036</v>
      </c>
      <c r="B1000" s="1">
        <v>45805</v>
      </c>
      <c r="C1000" t="s">
        <v>34</v>
      </c>
      <c r="D1000" t="s">
        <v>12</v>
      </c>
      <c r="E1000" t="s">
        <v>45</v>
      </c>
      <c r="F1000" t="s">
        <v>32</v>
      </c>
      <c r="G1000" t="s">
        <v>36</v>
      </c>
      <c r="H1000">
        <v>239.05</v>
      </c>
      <c r="I1000">
        <v>1</v>
      </c>
      <c r="J1000">
        <v>239.05</v>
      </c>
      <c r="K1000" t="str">
        <f t="shared" si="75"/>
        <v>May</v>
      </c>
      <c r="L1000" t="str">
        <f t="shared" si="76"/>
        <v>Low</v>
      </c>
      <c r="M1000" t="str">
        <f t="shared" si="77"/>
        <v>Low</v>
      </c>
      <c r="N1000">
        <f t="shared" si="79"/>
        <v>-1.3499999999999943</v>
      </c>
      <c r="O1000" s="6">
        <v>0.1</v>
      </c>
      <c r="P1000">
        <f t="shared" si="78"/>
        <v>215.14500000000001</v>
      </c>
    </row>
    <row r="1001" spans="1:16" x14ac:dyDescent="0.25">
      <c r="A1001" t="s">
        <v>1037</v>
      </c>
      <c r="B1001" s="1">
        <v>45899</v>
      </c>
      <c r="C1001" t="s">
        <v>34</v>
      </c>
      <c r="D1001" t="s">
        <v>26</v>
      </c>
      <c r="E1001" t="s">
        <v>27</v>
      </c>
      <c r="F1001" t="s">
        <v>42</v>
      </c>
      <c r="G1001" t="s">
        <v>15</v>
      </c>
      <c r="H1001">
        <v>128.12</v>
      </c>
      <c r="I1001">
        <v>1</v>
      </c>
      <c r="J1001">
        <v>128.12</v>
      </c>
      <c r="K1001" t="str">
        <f t="shared" si="75"/>
        <v>Aug</v>
      </c>
      <c r="L1001" t="str">
        <f t="shared" si="76"/>
        <v>Low</v>
      </c>
      <c r="M1001" t="str">
        <f t="shared" si="77"/>
        <v>Low</v>
      </c>
      <c r="N1001">
        <f t="shared" si="79"/>
        <v>-110.93</v>
      </c>
      <c r="O1001" s="6">
        <v>0.1</v>
      </c>
      <c r="P1001">
        <f t="shared" si="78"/>
        <v>115.30800000000001</v>
      </c>
    </row>
    <row r="1002" spans="1:16" x14ac:dyDescent="0.25">
      <c r="B1002" s="1"/>
      <c r="I1002">
        <f>SUBTOTAL(109,Table2[Units_Sold])</f>
        <v>10584</v>
      </c>
      <c r="J1002">
        <f>SUM(J2:J1001)</f>
        <v>1453186.0300000007</v>
      </c>
      <c r="K1002" s="15"/>
      <c r="L1002" s="15"/>
      <c r="M1002" s="15"/>
      <c r="N1002" s="15"/>
      <c r="O1002" s="15"/>
      <c r="P1002" s="15">
        <f>SUBTOTAL(109,Table2[Adjust revenue])</f>
        <v>1307591.9230000009</v>
      </c>
    </row>
  </sheetData>
  <phoneticPr fontId="2" type="noConversion"/>
  <conditionalFormatting sqref="J2:J1001">
    <cfRule type="top10" dxfId="7" priority="2" rank="10"/>
  </conditionalFormatting>
  <conditionalFormatting sqref="N2:N1001">
    <cfRule type="iconSet" priority="1">
      <iconSet iconSet="3Arrows">
        <cfvo type="percent" val="0"/>
        <cfvo type="percent" val="33"/>
        <cfvo type="percent" val="67"/>
      </iconSet>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0876-EB5B-4BE3-892B-CFAC71D76238}">
  <dimension ref="A1:AT336"/>
  <sheetViews>
    <sheetView showGridLines="0" showRowColHeaders="0" tabSelected="1" topLeftCell="A24" zoomScale="80" zoomScaleNormal="80" workbookViewId="0">
      <selection sqref="A1:AT336"/>
    </sheetView>
  </sheetViews>
  <sheetFormatPr defaultRowHeight="13.2" x14ac:dyDescent="0.25"/>
  <sheetData>
    <row r="1" spans="1:46"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row>
    <row r="2" spans="1:46"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row>
    <row r="3" spans="1:46"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row>
    <row r="4" spans="1:46"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row>
    <row r="5" spans="1:46"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row>
    <row r="6" spans="1:46"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row>
    <row r="7" spans="1:46"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row>
    <row r="8" spans="1:46"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row>
    <row r="9" spans="1:46"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row>
    <row r="10" spans="1:46"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row>
    <row r="11" spans="1:46"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row>
    <row r="12" spans="1:46"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row>
    <row r="13" spans="1:46"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row>
    <row r="14" spans="1:46"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row>
    <row r="15" spans="1:46"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row>
    <row r="16" spans="1:46"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row>
    <row r="17" spans="1:46"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row>
    <row r="18" spans="1:46"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row>
    <row r="19" spans="1:46"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row>
    <row r="20" spans="1:46"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row>
    <row r="21" spans="1:46"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row>
    <row r="22" spans="1:46"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row>
    <row r="23" spans="1:46"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row>
    <row r="24" spans="1:46"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row>
    <row r="25" spans="1:46"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row>
    <row r="26" spans="1:46"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row>
    <row r="27" spans="1:46"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row>
    <row r="28" spans="1:46"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row>
    <row r="29" spans="1:46"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row>
    <row r="30" spans="1:46"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row>
    <row r="31" spans="1:46"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row>
    <row r="32" spans="1:46"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row>
    <row r="33" spans="1:46"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row>
    <row r="34" spans="1:46"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row>
    <row r="35" spans="1:46"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row>
    <row r="36" spans="1:46"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row>
    <row r="37" spans="1:46"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row>
    <row r="38" spans="1:46"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row>
    <row r="39" spans="1:46"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row>
    <row r="40" spans="1:46"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row>
    <row r="41" spans="1:46"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row>
    <row r="42" spans="1:46"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row>
    <row r="43" spans="1:46"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row>
    <row r="44" spans="1:46"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row>
    <row r="45" spans="1:46"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row>
    <row r="46" spans="1:46"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row>
    <row r="47" spans="1:46"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row>
    <row r="48" spans="1:46"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row>
    <row r="49" spans="1:46"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row>
    <row r="50" spans="1:46"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row>
    <row r="51" spans="1:46"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row>
    <row r="52" spans="1:46"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row>
    <row r="53" spans="1:46"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row>
    <row r="54" spans="1:46"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row>
    <row r="55" spans="1:46"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row>
    <row r="56" spans="1:46"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row>
    <row r="57" spans="1:46"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row>
    <row r="58" spans="1:46"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row>
    <row r="59" spans="1:46"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row>
    <row r="60" spans="1:46"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row>
    <row r="61" spans="1:46"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row>
    <row r="62" spans="1:46"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row>
    <row r="63" spans="1:46"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row>
    <row r="64" spans="1:46"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row>
    <row r="65" spans="1:46"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row>
    <row r="66" spans="1:46"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row>
    <row r="67" spans="1:46"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row>
    <row r="68" spans="1:46"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row>
    <row r="69" spans="1:46"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row>
    <row r="70" spans="1:46"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row>
    <row r="71" spans="1:46"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row>
    <row r="72" spans="1:46"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row>
    <row r="73" spans="1:46"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row>
    <row r="74" spans="1:46"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row>
    <row r="75" spans="1:46"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row>
    <row r="76" spans="1:46"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row>
    <row r="77" spans="1:46"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row>
    <row r="78" spans="1:46"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row>
    <row r="79" spans="1:46"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row>
    <row r="80" spans="1:46"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row>
    <row r="81" spans="1:46"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row>
    <row r="82" spans="1:46"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row>
    <row r="83" spans="1:46"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row>
    <row r="84" spans="1:46"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row>
    <row r="85" spans="1:46"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row>
    <row r="86" spans="1:46"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row>
    <row r="87" spans="1:46"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row>
    <row r="88" spans="1:46"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row>
    <row r="89" spans="1:46"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row>
    <row r="90" spans="1:46"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row>
    <row r="91" spans="1:46"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row>
    <row r="92" spans="1:46"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row>
    <row r="93" spans="1:46"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row>
    <row r="94" spans="1:46"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row>
    <row r="95" spans="1:46"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row>
    <row r="96" spans="1:46"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row>
    <row r="97" spans="1:46"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row>
    <row r="98" spans="1:46"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row>
    <row r="99" spans="1:46"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row>
    <row r="100" spans="1:46"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row>
    <row r="101" spans="1:46"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row>
    <row r="102" spans="1:46"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row>
    <row r="103" spans="1:46"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row>
    <row r="104" spans="1:46"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row>
    <row r="105" spans="1:46"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row>
    <row r="106" spans="1:46"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row>
    <row r="107" spans="1:46"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row>
    <row r="108" spans="1:46"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row>
    <row r="109" spans="1:46"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row>
    <row r="110" spans="1:46"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row>
    <row r="111" spans="1:46"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row>
    <row r="112" spans="1:46"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row>
    <row r="113" spans="1:46"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row>
    <row r="114" spans="1:46"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row>
    <row r="115" spans="1:46"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row>
    <row r="116" spans="1:46"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row>
    <row r="117" spans="1:46"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row>
    <row r="118" spans="1:46"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row>
    <row r="119" spans="1:46"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row>
    <row r="120" spans="1:46"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row>
    <row r="121" spans="1:46"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row>
    <row r="122" spans="1:46"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row>
    <row r="123" spans="1:46"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row>
    <row r="124" spans="1:46"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row>
    <row r="125" spans="1:46"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row>
    <row r="126" spans="1:46"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row>
    <row r="127" spans="1:46"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row>
    <row r="128" spans="1:46"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row>
    <row r="129" spans="1:46"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row>
    <row r="130" spans="1:46"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row>
    <row r="131" spans="1:46"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row>
    <row r="132" spans="1:46"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row>
    <row r="133" spans="1:46"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row>
    <row r="134" spans="1:46"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row>
    <row r="135" spans="1:46"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row>
    <row r="136" spans="1:46"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row>
    <row r="137" spans="1:46"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row>
    <row r="138" spans="1:46"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row>
    <row r="139" spans="1:46"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row>
    <row r="140" spans="1:46"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row>
    <row r="141" spans="1:46"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row>
    <row r="142" spans="1:46"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row>
    <row r="143" spans="1:46"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row>
    <row r="144" spans="1:46"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row>
    <row r="145" spans="1:46"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row>
    <row r="146" spans="1:46"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row>
    <row r="147" spans="1:46"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row>
    <row r="148" spans="1:46"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row>
    <row r="149" spans="1:46"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row>
    <row r="150" spans="1:46"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row>
    <row r="151" spans="1:46"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row>
    <row r="152" spans="1:46"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row>
    <row r="153" spans="1:46"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row>
    <row r="154" spans="1:46"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row>
    <row r="155" spans="1:46"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row>
    <row r="156" spans="1:46"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row>
    <row r="157" spans="1:46"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row>
    <row r="158" spans="1:46"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row>
    <row r="159" spans="1:46"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row>
    <row r="160" spans="1:46"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row>
    <row r="161" spans="1:46"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row>
    <row r="162" spans="1:46"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row>
    <row r="163" spans="1:46"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row>
    <row r="164" spans="1:46"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row>
    <row r="165" spans="1:46"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row>
    <row r="166" spans="1:46"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row>
    <row r="167" spans="1:46"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row>
    <row r="168" spans="1:46"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row>
    <row r="169" spans="1:46"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row>
    <row r="170" spans="1:46"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row>
    <row r="171" spans="1:46"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row>
    <row r="172" spans="1:46"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row>
    <row r="173" spans="1:46"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row>
    <row r="174" spans="1:46"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row>
    <row r="175" spans="1:46"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row>
    <row r="176" spans="1:46"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row>
    <row r="177" spans="1:46"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row>
    <row r="178" spans="1:46"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row>
    <row r="179" spans="1:46"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row>
    <row r="180" spans="1:46"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row>
    <row r="181" spans="1:46"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row>
    <row r="182" spans="1:46"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row>
    <row r="183" spans="1:46"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row>
    <row r="184" spans="1:46"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row>
    <row r="185" spans="1:46"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row>
    <row r="186" spans="1:46"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row>
    <row r="187" spans="1:46"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row>
    <row r="188" spans="1:46"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row>
    <row r="189" spans="1:46"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row>
    <row r="190" spans="1:46"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row>
    <row r="191" spans="1:46"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row>
    <row r="192" spans="1:46"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row>
    <row r="193" spans="1:46"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row>
    <row r="194" spans="1:46"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row>
    <row r="195" spans="1:46"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row>
    <row r="196" spans="1:46"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row>
    <row r="197" spans="1:46"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row>
    <row r="198" spans="1:46"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row>
    <row r="199" spans="1:46"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row>
    <row r="200" spans="1:46"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row>
    <row r="201" spans="1:46"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row>
    <row r="202" spans="1:46"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row>
    <row r="203" spans="1:46"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row>
    <row r="204" spans="1:46"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row>
    <row r="205" spans="1:46"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row>
    <row r="206" spans="1:46"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row>
    <row r="207" spans="1:46"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row>
    <row r="208" spans="1:46"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row>
    <row r="209" spans="1:46"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row>
    <row r="210" spans="1:46"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row>
    <row r="211" spans="1:46"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row>
    <row r="212" spans="1:46"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row>
    <row r="213" spans="1:46"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row>
    <row r="214" spans="1:46"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row>
    <row r="215" spans="1:46"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row>
    <row r="216" spans="1:46"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row>
    <row r="217" spans="1:46"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row>
    <row r="218" spans="1:46"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row>
    <row r="219" spans="1:46"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row>
    <row r="220" spans="1:46"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row>
    <row r="221" spans="1:46"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row>
    <row r="222" spans="1:46"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row>
    <row r="223" spans="1:46"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row>
    <row r="224" spans="1:46"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row>
    <row r="225" spans="1:46"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row>
    <row r="226" spans="1:46"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row>
    <row r="227" spans="1:46"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row>
    <row r="228" spans="1:46"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row>
    <row r="229" spans="1:46"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row>
    <row r="230" spans="1:46"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row>
    <row r="231" spans="1:46"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row>
    <row r="232" spans="1:46"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row>
    <row r="233" spans="1:46"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row>
    <row r="234" spans="1:46"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row>
    <row r="235" spans="1:46"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row>
    <row r="236" spans="1:46"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row>
    <row r="237" spans="1:46"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row>
    <row r="238" spans="1:46"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row>
    <row r="239" spans="1:46"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row>
    <row r="240" spans="1:46"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row>
    <row r="241" spans="1:46"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row>
    <row r="242" spans="1:46"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row>
    <row r="243" spans="1:46"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row>
    <row r="244" spans="1:46"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row>
    <row r="245" spans="1:46"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row>
    <row r="246" spans="1:46"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row>
    <row r="247" spans="1:46"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row>
    <row r="248" spans="1:46"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row>
    <row r="249" spans="1:46"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row>
    <row r="250" spans="1:46"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row>
    <row r="251" spans="1:46"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row>
    <row r="252" spans="1:46"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row>
    <row r="253" spans="1:46"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row>
    <row r="254" spans="1:46"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row>
    <row r="255" spans="1:46"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row>
    <row r="256" spans="1:46"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row>
    <row r="257" spans="1:46"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row>
    <row r="258" spans="1:46"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row>
    <row r="259" spans="1:46"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row>
    <row r="260" spans="1:46"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row>
    <row r="261" spans="1:46"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row>
    <row r="262" spans="1:46"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row>
    <row r="263" spans="1:46"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row>
    <row r="264" spans="1:46"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row>
    <row r="265" spans="1:46"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row>
    <row r="266" spans="1:46"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row>
    <row r="267" spans="1:46"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row>
    <row r="268" spans="1:46"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row>
    <row r="269" spans="1:46"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row>
    <row r="270" spans="1:46"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row>
    <row r="271" spans="1:46"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row>
    <row r="272" spans="1:46"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row>
    <row r="273" spans="1:46"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row>
    <row r="274" spans="1:46"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row>
    <row r="275" spans="1:46"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row>
    <row r="276" spans="1:46"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row>
    <row r="277" spans="1:46"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row>
    <row r="278" spans="1:46"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row>
    <row r="279" spans="1:46"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row>
    <row r="280" spans="1:46"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row>
    <row r="281" spans="1:46"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row>
    <row r="282" spans="1:46"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row>
    <row r="283" spans="1:46"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row>
    <row r="284" spans="1:46"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row>
    <row r="285" spans="1:46"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row>
    <row r="286" spans="1:46"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row>
    <row r="287" spans="1:46"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row>
    <row r="288" spans="1:46"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row>
    <row r="289" spans="1:46"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row>
    <row r="290" spans="1:46"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row>
    <row r="291" spans="1:46"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row>
    <row r="292" spans="1:46"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row>
    <row r="293" spans="1:46"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row>
    <row r="294" spans="1:46"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row>
    <row r="295" spans="1:46"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row>
    <row r="296" spans="1:46"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row>
    <row r="297" spans="1:46"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row>
    <row r="298" spans="1:46"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row>
    <row r="299" spans="1:46"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row>
    <row r="300" spans="1:46"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row>
    <row r="301" spans="1:46"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row>
    <row r="302" spans="1:46"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row>
    <row r="303" spans="1:46"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row>
    <row r="304" spans="1:46"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row>
    <row r="305" spans="1:46"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row>
    <row r="306" spans="1:46"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row>
    <row r="307" spans="1:46"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row>
    <row r="308" spans="1:46"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row>
    <row r="309" spans="1:46"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row>
    <row r="310" spans="1:46"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row>
    <row r="311" spans="1:46"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row>
    <row r="312" spans="1:46"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row>
    <row r="313" spans="1:46"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row>
    <row r="314" spans="1:46"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row>
    <row r="315" spans="1:46"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row>
    <row r="316" spans="1:46"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row>
    <row r="317" spans="1:46"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row>
    <row r="318" spans="1:46"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row>
    <row r="319" spans="1:46"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row>
    <row r="320" spans="1:46"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row>
    <row r="321" spans="1:46"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row>
    <row r="322" spans="1:46"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row>
    <row r="323" spans="1:46"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row>
    <row r="324" spans="1:46"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row>
    <row r="325" spans="1:46"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row>
    <row r="326" spans="1:46"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row>
    <row r="327" spans="1:46"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row>
    <row r="328" spans="1:46"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row>
    <row r="329" spans="1:46"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row>
    <row r="330" spans="1:46"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row>
    <row r="331" spans="1:46"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row>
    <row r="332" spans="1:46"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row>
    <row r="333" spans="1:46"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row>
    <row r="334" spans="1:46"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row>
    <row r="335" spans="1:46"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row>
    <row r="336" spans="1:46"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row>
  </sheetData>
  <mergeCells count="1">
    <mergeCell ref="A1:AT33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4A1B-B919-49AD-A17D-8A646BA6DD22}">
  <dimension ref="A2:AB182"/>
  <sheetViews>
    <sheetView topLeftCell="A205" workbookViewId="0">
      <selection activeCell="J10" sqref="J10"/>
    </sheetView>
  </sheetViews>
  <sheetFormatPr defaultRowHeight="13.2" x14ac:dyDescent="0.25"/>
  <cols>
    <col min="1" max="1" width="18.33203125" bestFit="1" customWidth="1"/>
    <col min="2" max="2" width="11.5546875" customWidth="1"/>
    <col min="3" max="3" width="11.5546875" bestFit="1" customWidth="1"/>
    <col min="4" max="4" width="10.6640625" bestFit="1" customWidth="1"/>
    <col min="5" max="5" width="5.77734375" bestFit="1" customWidth="1"/>
    <col min="6" max="6" width="8.109375" bestFit="1" customWidth="1"/>
    <col min="7" max="7" width="13.88671875" bestFit="1" customWidth="1"/>
    <col min="8" max="8" width="10.33203125" bestFit="1" customWidth="1"/>
    <col min="9" max="9" width="10.44140625" bestFit="1" customWidth="1"/>
    <col min="10" max="10" width="13.5546875" bestFit="1" customWidth="1"/>
    <col min="11" max="11" width="6.44140625" bestFit="1" customWidth="1"/>
    <col min="12" max="12" width="14.6640625" bestFit="1" customWidth="1"/>
    <col min="13" max="13" width="20.88671875" bestFit="1" customWidth="1"/>
    <col min="14" max="14" width="7.5546875" bestFit="1" customWidth="1"/>
  </cols>
  <sheetData>
    <row r="2" spans="1:28" x14ac:dyDescent="0.25">
      <c r="A2" s="4" t="s">
        <v>1042</v>
      </c>
    </row>
    <row r="3" spans="1:28" x14ac:dyDescent="0.25">
      <c r="A3" t="s">
        <v>12</v>
      </c>
    </row>
    <row r="4" spans="1:28" x14ac:dyDescent="0.25">
      <c r="AB4" t="s">
        <v>12</v>
      </c>
    </row>
    <row r="5" spans="1:28" x14ac:dyDescent="0.25">
      <c r="AB5" t="s">
        <v>22</v>
      </c>
    </row>
    <row r="6" spans="1:28" x14ac:dyDescent="0.25">
      <c r="A6" s="2" t="s">
        <v>0</v>
      </c>
      <c r="B6" s="3" t="s">
        <v>1</v>
      </c>
      <c r="C6" s="3" t="s">
        <v>2</v>
      </c>
      <c r="D6" s="3" t="s">
        <v>3</v>
      </c>
      <c r="E6" s="3" t="s">
        <v>4</v>
      </c>
      <c r="F6" s="3" t="s">
        <v>5</v>
      </c>
      <c r="G6" s="3" t="s">
        <v>6</v>
      </c>
      <c r="H6" s="3" t="s">
        <v>7</v>
      </c>
      <c r="AB6" t="s">
        <v>26</v>
      </c>
    </row>
    <row r="7" spans="1:28" x14ac:dyDescent="0.25">
      <c r="A7" t="str" cm="1">
        <f t="array" ref="A7:H182">IFERROR(_xlfn._xlws.FILTER(shoes_sales_dataset!A2:H1001,shoes_sales_dataset!D2:D1001=A3),"Select Shoe Type")</f>
        <v>S1</v>
      </c>
      <c r="B7" s="5">
        <v>45985</v>
      </c>
      <c r="C7" t="str">
        <v>Nike</v>
      </c>
      <c r="D7" t="str">
        <v>Boots</v>
      </c>
      <c r="E7" t="str">
        <v>Blue</v>
      </c>
      <c r="F7" t="str">
        <v>UK</v>
      </c>
      <c r="G7" t="str">
        <v>Online</v>
      </c>
      <c r="H7">
        <v>112.4</v>
      </c>
      <c r="AB7" t="s">
        <v>31</v>
      </c>
    </row>
    <row r="8" spans="1:28" x14ac:dyDescent="0.25">
      <c r="A8" t="str">
        <v>S2</v>
      </c>
      <c r="B8" s="5">
        <v>45729</v>
      </c>
      <c r="C8" t="str">
        <v>Skechers</v>
      </c>
      <c r="D8" t="str">
        <v>Boots</v>
      </c>
      <c r="E8" t="str">
        <v>Grey</v>
      </c>
      <c r="F8" t="str">
        <v>USA</v>
      </c>
      <c r="G8" t="str">
        <v>Mall</v>
      </c>
      <c r="H8">
        <v>239.16</v>
      </c>
      <c r="AB8" t="s">
        <v>35</v>
      </c>
    </row>
    <row r="9" spans="1:28" x14ac:dyDescent="0.25">
      <c r="A9" t="str">
        <v>S8</v>
      </c>
      <c r="B9" s="5">
        <v>45967</v>
      </c>
      <c r="C9" t="str">
        <v>Nike</v>
      </c>
      <c r="D9" t="str">
        <v>Boots</v>
      </c>
      <c r="E9" t="str">
        <v>Red</v>
      </c>
      <c r="F9" t="str">
        <v>India</v>
      </c>
      <c r="G9" t="str">
        <v>Online</v>
      </c>
      <c r="H9">
        <v>220.56</v>
      </c>
      <c r="AB9" t="s">
        <v>55</v>
      </c>
    </row>
    <row r="10" spans="1:28" x14ac:dyDescent="0.25">
      <c r="A10" t="str">
        <v>S13</v>
      </c>
      <c r="B10" s="5">
        <v>45794</v>
      </c>
      <c r="C10" t="str">
        <v>New Balance</v>
      </c>
      <c r="D10" t="str">
        <v>Boots</v>
      </c>
      <c r="E10" t="str">
        <v>White</v>
      </c>
      <c r="F10" t="str">
        <v>India</v>
      </c>
      <c r="G10" t="str">
        <v>Mall</v>
      </c>
      <c r="H10">
        <v>213.14</v>
      </c>
    </row>
    <row r="11" spans="1:28" x14ac:dyDescent="0.25">
      <c r="A11" t="str">
        <v>S35</v>
      </c>
      <c r="B11" s="5">
        <v>45770</v>
      </c>
      <c r="C11" t="str">
        <v>Nike</v>
      </c>
      <c r="D11" t="str">
        <v>Boots</v>
      </c>
      <c r="E11" t="str">
        <v>Green</v>
      </c>
      <c r="F11" t="str">
        <v>USA</v>
      </c>
      <c r="G11" t="str">
        <v>Online</v>
      </c>
      <c r="H11">
        <v>242.44</v>
      </c>
    </row>
    <row r="12" spans="1:28" x14ac:dyDescent="0.25">
      <c r="A12" t="str">
        <v>S46</v>
      </c>
      <c r="B12" s="5">
        <v>45804</v>
      </c>
      <c r="C12" t="str">
        <v>Skechers</v>
      </c>
      <c r="D12" t="str">
        <v>Boots</v>
      </c>
      <c r="E12" t="str">
        <v>Grey</v>
      </c>
      <c r="F12" t="str">
        <v>UAE</v>
      </c>
      <c r="G12" t="str">
        <v>Mall</v>
      </c>
      <c r="H12">
        <v>175.75</v>
      </c>
    </row>
    <row r="13" spans="1:28" x14ac:dyDescent="0.25">
      <c r="A13" t="str">
        <v>S52</v>
      </c>
      <c r="B13" s="5">
        <v>45975</v>
      </c>
      <c r="C13" t="str">
        <v>Reebok</v>
      </c>
      <c r="D13" t="str">
        <v>Boots</v>
      </c>
      <c r="E13" t="str">
        <v>Grey</v>
      </c>
      <c r="F13" t="str">
        <v>India</v>
      </c>
      <c r="G13" t="str">
        <v>Mall</v>
      </c>
      <c r="H13">
        <v>200.53</v>
      </c>
    </row>
    <row r="14" spans="1:28" x14ac:dyDescent="0.25">
      <c r="A14" t="str">
        <v>S53</v>
      </c>
      <c r="B14" s="5">
        <v>45819</v>
      </c>
      <c r="C14" t="str">
        <v>Adidas</v>
      </c>
      <c r="D14" t="str">
        <v>Boots</v>
      </c>
      <c r="E14" t="str">
        <v>Green</v>
      </c>
      <c r="F14" t="str">
        <v>France</v>
      </c>
      <c r="G14" t="str">
        <v>Online</v>
      </c>
      <c r="H14">
        <v>236.69</v>
      </c>
    </row>
    <row r="15" spans="1:28" x14ac:dyDescent="0.25">
      <c r="A15" t="str">
        <v>S54</v>
      </c>
      <c r="B15" s="5">
        <v>45793</v>
      </c>
      <c r="C15" t="str">
        <v>Adidas</v>
      </c>
      <c r="D15" t="str">
        <v>Boots</v>
      </c>
      <c r="E15" t="str">
        <v>Green</v>
      </c>
      <c r="F15" t="str">
        <v>France</v>
      </c>
      <c r="G15" t="str">
        <v>Retail Store</v>
      </c>
      <c r="H15">
        <v>226.86</v>
      </c>
    </row>
    <row r="16" spans="1:28" x14ac:dyDescent="0.25">
      <c r="A16" t="str">
        <v>S58</v>
      </c>
      <c r="B16" s="5">
        <v>46018</v>
      </c>
      <c r="C16" t="str">
        <v>New Balance</v>
      </c>
      <c r="D16" t="str">
        <v>Boots</v>
      </c>
      <c r="E16" t="str">
        <v>Grey</v>
      </c>
      <c r="F16" t="str">
        <v>USA</v>
      </c>
      <c r="G16" t="str">
        <v>Mall</v>
      </c>
      <c r="H16">
        <v>73.12</v>
      </c>
    </row>
    <row r="17" spans="1:8" x14ac:dyDescent="0.25">
      <c r="A17" t="str">
        <v>S61</v>
      </c>
      <c r="B17" s="5">
        <v>45833</v>
      </c>
      <c r="C17" t="str">
        <v>Skechers</v>
      </c>
      <c r="D17" t="str">
        <v>Boots</v>
      </c>
      <c r="E17" t="str">
        <v>Blue</v>
      </c>
      <c r="F17" t="str">
        <v>India</v>
      </c>
      <c r="G17" t="str">
        <v>Retail Store</v>
      </c>
      <c r="H17">
        <v>115.51</v>
      </c>
    </row>
    <row r="18" spans="1:8" x14ac:dyDescent="0.25">
      <c r="A18" t="str">
        <v>S62</v>
      </c>
      <c r="B18" s="5">
        <v>45786</v>
      </c>
      <c r="C18" t="str">
        <v>Nike</v>
      </c>
      <c r="D18" t="str">
        <v>Boots</v>
      </c>
      <c r="E18" t="str">
        <v>Red</v>
      </c>
      <c r="F18" t="str">
        <v>Saudi Arabia</v>
      </c>
      <c r="G18" t="str">
        <v>Retail Store</v>
      </c>
      <c r="H18">
        <v>89.7</v>
      </c>
    </row>
    <row r="19" spans="1:8" x14ac:dyDescent="0.25">
      <c r="A19" t="str">
        <v>S68</v>
      </c>
      <c r="B19" s="5">
        <v>45944</v>
      </c>
      <c r="C19" t="str">
        <v>New Balance</v>
      </c>
      <c r="D19" t="str">
        <v>Boots</v>
      </c>
      <c r="E19" t="str">
        <v>White</v>
      </c>
      <c r="F19" t="str">
        <v>UK</v>
      </c>
      <c r="G19" t="str">
        <v>Online</v>
      </c>
      <c r="H19">
        <v>206.48</v>
      </c>
    </row>
    <row r="20" spans="1:8" x14ac:dyDescent="0.25">
      <c r="A20" t="str">
        <v>S72</v>
      </c>
      <c r="B20" s="5">
        <v>45774</v>
      </c>
      <c r="C20" t="str">
        <v>Nike</v>
      </c>
      <c r="D20" t="str">
        <v>Boots</v>
      </c>
      <c r="E20" t="str">
        <v>White</v>
      </c>
      <c r="F20" t="str">
        <v>Germany</v>
      </c>
      <c r="G20" t="str">
        <v>Retail Store</v>
      </c>
      <c r="H20">
        <v>73.72</v>
      </c>
    </row>
    <row r="21" spans="1:8" x14ac:dyDescent="0.25">
      <c r="A21" t="str">
        <v>S77</v>
      </c>
      <c r="B21" s="5">
        <v>45755</v>
      </c>
      <c r="C21" t="str">
        <v>Nike</v>
      </c>
      <c r="D21" t="str">
        <v>Boots</v>
      </c>
      <c r="E21" t="str">
        <v>Red</v>
      </c>
      <c r="F21" t="str">
        <v>USA</v>
      </c>
      <c r="G21" t="str">
        <v>Mall</v>
      </c>
      <c r="H21">
        <v>199.68</v>
      </c>
    </row>
    <row r="22" spans="1:8" x14ac:dyDescent="0.25">
      <c r="A22" t="str">
        <v>S81</v>
      </c>
      <c r="B22" s="5">
        <v>45723</v>
      </c>
      <c r="C22" t="str">
        <v>Reebok</v>
      </c>
      <c r="D22" t="str">
        <v>Boots</v>
      </c>
      <c r="E22" t="str">
        <v>Red</v>
      </c>
      <c r="F22" t="str">
        <v>UAE</v>
      </c>
      <c r="G22" t="str">
        <v>Mall</v>
      </c>
      <c r="H22">
        <v>219.88</v>
      </c>
    </row>
    <row r="23" spans="1:8" x14ac:dyDescent="0.25">
      <c r="A23" t="str">
        <v>S92</v>
      </c>
      <c r="B23" s="5">
        <v>45891</v>
      </c>
      <c r="C23" t="str">
        <v>Reebok</v>
      </c>
      <c r="D23" t="str">
        <v>Boots</v>
      </c>
      <c r="E23" t="str">
        <v>Grey</v>
      </c>
      <c r="F23" t="str">
        <v>India</v>
      </c>
      <c r="G23" t="str">
        <v>Mall</v>
      </c>
      <c r="H23">
        <v>186.91</v>
      </c>
    </row>
    <row r="24" spans="1:8" x14ac:dyDescent="0.25">
      <c r="A24" t="str">
        <v>S93</v>
      </c>
      <c r="B24" s="5">
        <v>45820</v>
      </c>
      <c r="C24" t="str">
        <v>New Balance</v>
      </c>
      <c r="D24" t="str">
        <v>Boots</v>
      </c>
      <c r="E24" t="str">
        <v>Grey</v>
      </c>
      <c r="F24" t="str">
        <v>Germany</v>
      </c>
      <c r="G24" t="str">
        <v>Mall</v>
      </c>
      <c r="H24">
        <v>197.37</v>
      </c>
    </row>
    <row r="25" spans="1:8" x14ac:dyDescent="0.25">
      <c r="A25" t="str">
        <v>S114</v>
      </c>
      <c r="B25" s="5">
        <v>46004</v>
      </c>
      <c r="C25" t="str">
        <v>Reebok</v>
      </c>
      <c r="D25" t="str">
        <v>Boots</v>
      </c>
      <c r="E25" t="str">
        <v>White</v>
      </c>
      <c r="F25" t="str">
        <v>USA</v>
      </c>
      <c r="G25" t="str">
        <v>Mall</v>
      </c>
      <c r="H25">
        <v>207.79</v>
      </c>
    </row>
    <row r="26" spans="1:8" x14ac:dyDescent="0.25">
      <c r="A26" t="str">
        <v>S115</v>
      </c>
      <c r="B26" s="5">
        <v>46011</v>
      </c>
      <c r="C26" t="str">
        <v>Nike</v>
      </c>
      <c r="D26" t="str">
        <v>Boots</v>
      </c>
      <c r="E26" t="str">
        <v>Blue</v>
      </c>
      <c r="F26" t="str">
        <v>Saudi Arabia</v>
      </c>
      <c r="G26" t="str">
        <v>Mall</v>
      </c>
      <c r="H26">
        <v>169.35</v>
      </c>
    </row>
    <row r="27" spans="1:8" x14ac:dyDescent="0.25">
      <c r="A27" t="str">
        <v>S126</v>
      </c>
      <c r="B27" s="5">
        <v>45908</v>
      </c>
      <c r="C27" t="str">
        <v>Adidas</v>
      </c>
      <c r="D27" t="str">
        <v>Boots</v>
      </c>
      <c r="E27" t="str">
        <v>Red</v>
      </c>
      <c r="F27" t="str">
        <v>UAE</v>
      </c>
      <c r="G27" t="str">
        <v>Mall</v>
      </c>
      <c r="H27">
        <v>123.96</v>
      </c>
    </row>
    <row r="28" spans="1:8" x14ac:dyDescent="0.25">
      <c r="A28" t="str">
        <v>S128</v>
      </c>
      <c r="B28" s="5">
        <v>46012</v>
      </c>
      <c r="C28" t="str">
        <v>Puma</v>
      </c>
      <c r="D28" t="str">
        <v>Boots</v>
      </c>
      <c r="E28" t="str">
        <v>Grey</v>
      </c>
      <c r="F28" t="str">
        <v>France</v>
      </c>
      <c r="G28" t="str">
        <v>Retail Store</v>
      </c>
      <c r="H28">
        <v>219.36</v>
      </c>
    </row>
    <row r="29" spans="1:8" x14ac:dyDescent="0.25">
      <c r="A29" t="str">
        <v>S131</v>
      </c>
      <c r="B29" s="5">
        <v>45756</v>
      </c>
      <c r="C29" t="str">
        <v>Nike</v>
      </c>
      <c r="D29" t="str">
        <v>Boots</v>
      </c>
      <c r="E29" t="str">
        <v>Grey</v>
      </c>
      <c r="F29" t="str">
        <v>Saudi Arabia</v>
      </c>
      <c r="G29" t="str">
        <v>Mall</v>
      </c>
      <c r="H29">
        <v>121.83</v>
      </c>
    </row>
    <row r="30" spans="1:8" x14ac:dyDescent="0.25">
      <c r="A30" t="str">
        <v>S132</v>
      </c>
      <c r="B30" s="5">
        <v>45752</v>
      </c>
      <c r="C30" t="str">
        <v>Adidas</v>
      </c>
      <c r="D30" t="str">
        <v>Boots</v>
      </c>
      <c r="E30" t="str">
        <v>Red</v>
      </c>
      <c r="F30" t="str">
        <v>France</v>
      </c>
      <c r="G30" t="str">
        <v>Mall</v>
      </c>
      <c r="H30">
        <v>78.86</v>
      </c>
    </row>
    <row r="31" spans="1:8" x14ac:dyDescent="0.25">
      <c r="A31" t="str">
        <v>S139</v>
      </c>
      <c r="B31" s="5">
        <v>45695</v>
      </c>
      <c r="C31" t="str">
        <v>Skechers</v>
      </c>
      <c r="D31" t="str">
        <v>Boots</v>
      </c>
      <c r="E31" t="str">
        <v>Black</v>
      </c>
      <c r="F31" t="str">
        <v>UK</v>
      </c>
      <c r="G31" t="str">
        <v>Online</v>
      </c>
      <c r="H31">
        <v>110</v>
      </c>
    </row>
    <row r="32" spans="1:8" x14ac:dyDescent="0.25">
      <c r="A32" t="str">
        <v>S161</v>
      </c>
      <c r="B32" s="5">
        <v>45843</v>
      </c>
      <c r="C32" t="str">
        <v>Reebok</v>
      </c>
      <c r="D32" t="str">
        <v>Boots</v>
      </c>
      <c r="E32" t="str">
        <v>Red</v>
      </c>
      <c r="F32" t="str">
        <v>Saudi Arabia</v>
      </c>
      <c r="G32" t="str">
        <v>Online</v>
      </c>
      <c r="H32">
        <v>110.91</v>
      </c>
    </row>
    <row r="33" spans="1:8" x14ac:dyDescent="0.25">
      <c r="A33" t="str">
        <v>S163</v>
      </c>
      <c r="B33" s="5">
        <v>45906</v>
      </c>
      <c r="C33" t="str">
        <v>Nike</v>
      </c>
      <c r="D33" t="str">
        <v>Boots</v>
      </c>
      <c r="E33" t="str">
        <v>Grey</v>
      </c>
      <c r="F33" t="str">
        <v>Saudi Arabia</v>
      </c>
      <c r="G33" t="str">
        <v>Online</v>
      </c>
      <c r="H33">
        <v>169.38</v>
      </c>
    </row>
    <row r="34" spans="1:8" x14ac:dyDescent="0.25">
      <c r="A34" t="str">
        <v>S166</v>
      </c>
      <c r="B34" s="5">
        <v>45913</v>
      </c>
      <c r="C34" t="str">
        <v>New Balance</v>
      </c>
      <c r="D34" t="str">
        <v>Boots</v>
      </c>
      <c r="E34" t="str">
        <v>Blue</v>
      </c>
      <c r="F34" t="str">
        <v>Germany</v>
      </c>
      <c r="G34" t="str">
        <v>Retail Store</v>
      </c>
      <c r="H34">
        <v>213.77</v>
      </c>
    </row>
    <row r="35" spans="1:8" x14ac:dyDescent="0.25">
      <c r="A35" t="str">
        <v>S173</v>
      </c>
      <c r="B35" s="5">
        <v>45868</v>
      </c>
      <c r="C35" t="str">
        <v>Puma</v>
      </c>
      <c r="D35" t="str">
        <v>Boots</v>
      </c>
      <c r="E35" t="str">
        <v>Red</v>
      </c>
      <c r="F35" t="str">
        <v>UAE</v>
      </c>
      <c r="G35" t="str">
        <v>Retail Store</v>
      </c>
      <c r="H35">
        <v>142.66</v>
      </c>
    </row>
    <row r="36" spans="1:8" x14ac:dyDescent="0.25">
      <c r="A36" t="str">
        <v>S186</v>
      </c>
      <c r="B36" s="5">
        <v>45788</v>
      </c>
      <c r="C36" t="str">
        <v>Puma</v>
      </c>
      <c r="D36" t="str">
        <v>Boots</v>
      </c>
      <c r="E36" t="str">
        <v>Black</v>
      </c>
      <c r="F36" t="str">
        <v>Saudi Arabia</v>
      </c>
      <c r="G36" t="str">
        <v>Retail Store</v>
      </c>
      <c r="H36">
        <v>175.2</v>
      </c>
    </row>
    <row r="37" spans="1:8" x14ac:dyDescent="0.25">
      <c r="A37" t="str">
        <v>S190</v>
      </c>
      <c r="B37" s="5">
        <v>45841</v>
      </c>
      <c r="C37" t="str">
        <v>Puma</v>
      </c>
      <c r="D37" t="str">
        <v>Boots</v>
      </c>
      <c r="E37" t="str">
        <v>Blue</v>
      </c>
      <c r="F37" t="str">
        <v>USA</v>
      </c>
      <c r="G37" t="str">
        <v>Mall</v>
      </c>
      <c r="H37">
        <v>83.21</v>
      </c>
    </row>
    <row r="38" spans="1:8" x14ac:dyDescent="0.25">
      <c r="A38" t="str">
        <v>S193</v>
      </c>
      <c r="B38" s="5">
        <v>45968</v>
      </c>
      <c r="C38" t="str">
        <v>Adidas</v>
      </c>
      <c r="D38" t="str">
        <v>Boots</v>
      </c>
      <c r="E38" t="str">
        <v>White</v>
      </c>
      <c r="F38" t="str">
        <v>India</v>
      </c>
      <c r="G38" t="str">
        <v>Retail Store</v>
      </c>
      <c r="H38">
        <v>228.09</v>
      </c>
    </row>
    <row r="39" spans="1:8" x14ac:dyDescent="0.25">
      <c r="A39" t="str">
        <v>S196</v>
      </c>
      <c r="B39" s="5">
        <v>45704</v>
      </c>
      <c r="C39" t="str">
        <v>Puma</v>
      </c>
      <c r="D39" t="str">
        <v>Boots</v>
      </c>
      <c r="E39" t="str">
        <v>Red</v>
      </c>
      <c r="F39" t="str">
        <v>UK</v>
      </c>
      <c r="G39" t="str">
        <v>Online</v>
      </c>
      <c r="H39">
        <v>106.83</v>
      </c>
    </row>
    <row r="40" spans="1:8" x14ac:dyDescent="0.25">
      <c r="A40" t="str">
        <v>S198</v>
      </c>
      <c r="B40" s="5">
        <v>45789</v>
      </c>
      <c r="C40" t="str">
        <v>Puma</v>
      </c>
      <c r="D40" t="str">
        <v>Boots</v>
      </c>
      <c r="E40" t="str">
        <v>Blue</v>
      </c>
      <c r="F40" t="str">
        <v>Saudi Arabia</v>
      </c>
      <c r="G40" t="str">
        <v>Online</v>
      </c>
      <c r="H40">
        <v>227.36</v>
      </c>
    </row>
    <row r="41" spans="1:8" x14ac:dyDescent="0.25">
      <c r="A41" t="str">
        <v>S202</v>
      </c>
      <c r="B41" s="5">
        <v>45792</v>
      </c>
      <c r="C41" t="str">
        <v>Reebok</v>
      </c>
      <c r="D41" t="str">
        <v>Boots</v>
      </c>
      <c r="E41" t="str">
        <v>Blue</v>
      </c>
      <c r="F41" t="str">
        <v>USA</v>
      </c>
      <c r="G41" t="str">
        <v>Mall</v>
      </c>
      <c r="H41">
        <v>48.51</v>
      </c>
    </row>
    <row r="42" spans="1:8" x14ac:dyDescent="0.25">
      <c r="A42" t="str">
        <v>S210</v>
      </c>
      <c r="B42" s="5">
        <v>45708</v>
      </c>
      <c r="C42" t="str">
        <v>New Balance</v>
      </c>
      <c r="D42" t="str">
        <v>Boots</v>
      </c>
      <c r="E42" t="str">
        <v>Blue</v>
      </c>
      <c r="F42" t="str">
        <v>USA</v>
      </c>
      <c r="G42" t="str">
        <v>Retail Store</v>
      </c>
      <c r="H42">
        <v>65.38</v>
      </c>
    </row>
    <row r="43" spans="1:8" x14ac:dyDescent="0.25">
      <c r="A43" t="str">
        <v>S221</v>
      </c>
      <c r="B43" s="5">
        <v>45903</v>
      </c>
      <c r="C43" t="str">
        <v>Reebok</v>
      </c>
      <c r="D43" t="str">
        <v>Boots</v>
      </c>
      <c r="E43" t="str">
        <v>Black</v>
      </c>
      <c r="F43" t="str">
        <v>Germany</v>
      </c>
      <c r="G43" t="str">
        <v>Mall</v>
      </c>
      <c r="H43">
        <v>174.67</v>
      </c>
    </row>
    <row r="44" spans="1:8" x14ac:dyDescent="0.25">
      <c r="A44" t="str">
        <v>S223</v>
      </c>
      <c r="B44" s="5">
        <v>45722</v>
      </c>
      <c r="C44" t="str">
        <v>New Balance</v>
      </c>
      <c r="D44" t="str">
        <v>Boots</v>
      </c>
      <c r="E44" t="str">
        <v>Grey</v>
      </c>
      <c r="F44" t="str">
        <v>India</v>
      </c>
      <c r="G44" t="str">
        <v>Mall</v>
      </c>
      <c r="H44">
        <v>50.61</v>
      </c>
    </row>
    <row r="45" spans="1:8" x14ac:dyDescent="0.25">
      <c r="A45" t="str">
        <v>S225</v>
      </c>
      <c r="B45" s="5">
        <v>45967</v>
      </c>
      <c r="C45" t="str">
        <v>Nike</v>
      </c>
      <c r="D45" t="str">
        <v>Boots</v>
      </c>
      <c r="E45" t="str">
        <v>Black</v>
      </c>
      <c r="F45" t="str">
        <v>Saudi Arabia</v>
      </c>
      <c r="G45" t="str">
        <v>Mall</v>
      </c>
      <c r="H45">
        <v>88.34</v>
      </c>
    </row>
    <row r="46" spans="1:8" x14ac:dyDescent="0.25">
      <c r="A46" t="str">
        <v>S228</v>
      </c>
      <c r="B46" s="5">
        <v>45818</v>
      </c>
      <c r="C46" t="str">
        <v>Puma</v>
      </c>
      <c r="D46" t="str">
        <v>Boots</v>
      </c>
      <c r="E46" t="str">
        <v>Blue</v>
      </c>
      <c r="F46" t="str">
        <v>France</v>
      </c>
      <c r="G46" t="str">
        <v>Online</v>
      </c>
      <c r="H46">
        <v>116.48</v>
      </c>
    </row>
    <row r="47" spans="1:8" x14ac:dyDescent="0.25">
      <c r="A47" t="str">
        <v>S239</v>
      </c>
      <c r="B47" s="5">
        <v>45863</v>
      </c>
      <c r="C47" t="str">
        <v>Adidas</v>
      </c>
      <c r="D47" t="str">
        <v>Boots</v>
      </c>
      <c r="E47" t="str">
        <v>Green</v>
      </c>
      <c r="F47" t="str">
        <v>USA</v>
      </c>
      <c r="G47" t="str">
        <v>Online</v>
      </c>
      <c r="H47">
        <v>172</v>
      </c>
    </row>
    <row r="48" spans="1:8" x14ac:dyDescent="0.25">
      <c r="A48" t="str">
        <v>S245</v>
      </c>
      <c r="B48" s="5">
        <v>45714</v>
      </c>
      <c r="C48" t="str">
        <v>Skechers</v>
      </c>
      <c r="D48" t="str">
        <v>Boots</v>
      </c>
      <c r="E48" t="str">
        <v>Grey</v>
      </c>
      <c r="F48" t="str">
        <v>Germany</v>
      </c>
      <c r="G48" t="str">
        <v>Mall</v>
      </c>
      <c r="H48">
        <v>33.4</v>
      </c>
    </row>
    <row r="49" spans="1:8" x14ac:dyDescent="0.25">
      <c r="A49" t="str">
        <v>S253</v>
      </c>
      <c r="B49" s="5">
        <v>45745</v>
      </c>
      <c r="C49" t="str">
        <v>Reebok</v>
      </c>
      <c r="D49" t="str">
        <v>Boots</v>
      </c>
      <c r="E49" t="str">
        <v>Blue</v>
      </c>
      <c r="F49" t="str">
        <v>USA</v>
      </c>
      <c r="G49" t="str">
        <v>Retail Store</v>
      </c>
      <c r="H49">
        <v>217.25</v>
      </c>
    </row>
    <row r="50" spans="1:8" x14ac:dyDescent="0.25">
      <c r="A50" t="str">
        <v>S257</v>
      </c>
      <c r="B50" s="5">
        <v>45836</v>
      </c>
      <c r="C50" t="str">
        <v>Skechers</v>
      </c>
      <c r="D50" t="str">
        <v>Boots</v>
      </c>
      <c r="E50" t="str">
        <v>White</v>
      </c>
      <c r="F50" t="str">
        <v>UK</v>
      </c>
      <c r="G50" t="str">
        <v>Online</v>
      </c>
      <c r="H50">
        <v>235.95</v>
      </c>
    </row>
    <row r="51" spans="1:8" x14ac:dyDescent="0.25">
      <c r="A51" t="str">
        <v>S270</v>
      </c>
      <c r="B51" s="5">
        <v>45856</v>
      </c>
      <c r="C51" t="str">
        <v>Puma</v>
      </c>
      <c r="D51" t="str">
        <v>Boots</v>
      </c>
      <c r="E51" t="str">
        <v>Grey</v>
      </c>
      <c r="F51" t="str">
        <v>USA</v>
      </c>
      <c r="G51" t="str">
        <v>Mall</v>
      </c>
      <c r="H51">
        <v>94.59</v>
      </c>
    </row>
    <row r="52" spans="1:8" x14ac:dyDescent="0.25">
      <c r="A52" t="str">
        <v>S272</v>
      </c>
      <c r="B52" s="5">
        <v>45855</v>
      </c>
      <c r="C52" t="str">
        <v>Puma</v>
      </c>
      <c r="D52" t="str">
        <v>Boots</v>
      </c>
      <c r="E52" t="str">
        <v>Green</v>
      </c>
      <c r="F52" t="str">
        <v>India</v>
      </c>
      <c r="G52" t="str">
        <v>Online</v>
      </c>
      <c r="H52">
        <v>208.22</v>
      </c>
    </row>
    <row r="53" spans="1:8" x14ac:dyDescent="0.25">
      <c r="A53" t="str">
        <v>S273</v>
      </c>
      <c r="B53" s="5">
        <v>45828</v>
      </c>
      <c r="C53" t="str">
        <v>New Balance</v>
      </c>
      <c r="D53" t="str">
        <v>Boots</v>
      </c>
      <c r="E53" t="str">
        <v>White</v>
      </c>
      <c r="F53" t="str">
        <v>France</v>
      </c>
      <c r="G53" t="str">
        <v>Retail Store</v>
      </c>
      <c r="H53">
        <v>220.76</v>
      </c>
    </row>
    <row r="54" spans="1:8" x14ac:dyDescent="0.25">
      <c r="A54" t="str">
        <v>S276</v>
      </c>
      <c r="B54" s="5">
        <v>46008</v>
      </c>
      <c r="C54" t="str">
        <v>Nike</v>
      </c>
      <c r="D54" t="str">
        <v>Boots</v>
      </c>
      <c r="E54" t="str">
        <v>Green</v>
      </c>
      <c r="F54" t="str">
        <v>Germany</v>
      </c>
      <c r="G54" t="str">
        <v>Mall</v>
      </c>
      <c r="H54">
        <v>140.33000000000001</v>
      </c>
    </row>
    <row r="55" spans="1:8" x14ac:dyDescent="0.25">
      <c r="A55" t="str">
        <v>S279</v>
      </c>
      <c r="B55" s="5">
        <v>45709</v>
      </c>
      <c r="C55" t="str">
        <v>New Balance</v>
      </c>
      <c r="D55" t="str">
        <v>Boots</v>
      </c>
      <c r="E55" t="str">
        <v>Grey</v>
      </c>
      <c r="F55" t="str">
        <v>USA</v>
      </c>
      <c r="G55" t="str">
        <v>Mall</v>
      </c>
      <c r="H55">
        <v>184.43</v>
      </c>
    </row>
    <row r="56" spans="1:8" x14ac:dyDescent="0.25">
      <c r="A56" t="str">
        <v>S281</v>
      </c>
      <c r="B56" s="5">
        <v>45750</v>
      </c>
      <c r="C56" t="str">
        <v>Adidas</v>
      </c>
      <c r="D56" t="str">
        <v>Boots</v>
      </c>
      <c r="E56" t="str">
        <v>Red</v>
      </c>
      <c r="F56" t="str">
        <v>USA</v>
      </c>
      <c r="G56" t="str">
        <v>Retail Store</v>
      </c>
      <c r="H56">
        <v>225.8</v>
      </c>
    </row>
    <row r="57" spans="1:8" x14ac:dyDescent="0.25">
      <c r="A57" t="str">
        <v>S303</v>
      </c>
      <c r="B57" s="5">
        <v>45834</v>
      </c>
      <c r="C57" t="str">
        <v>Skechers</v>
      </c>
      <c r="D57" t="str">
        <v>Boots</v>
      </c>
      <c r="E57" t="str">
        <v>Green</v>
      </c>
      <c r="F57" t="str">
        <v>USA</v>
      </c>
      <c r="G57" t="str">
        <v>Mall</v>
      </c>
      <c r="H57">
        <v>148.94</v>
      </c>
    </row>
    <row r="58" spans="1:8" x14ac:dyDescent="0.25">
      <c r="A58" t="str">
        <v>S308</v>
      </c>
      <c r="B58" s="5">
        <v>45900</v>
      </c>
      <c r="C58" t="str">
        <v>Nike</v>
      </c>
      <c r="D58" t="str">
        <v>Boots</v>
      </c>
      <c r="E58" t="str">
        <v>White</v>
      </c>
      <c r="F58" t="str">
        <v>France</v>
      </c>
      <c r="G58" t="str">
        <v>Retail Store</v>
      </c>
      <c r="H58">
        <v>101.05</v>
      </c>
    </row>
    <row r="59" spans="1:8" x14ac:dyDescent="0.25">
      <c r="A59" t="str">
        <v>S317</v>
      </c>
      <c r="B59" s="5">
        <v>45673</v>
      </c>
      <c r="C59" t="str">
        <v>New Balance</v>
      </c>
      <c r="D59" t="str">
        <v>Boots</v>
      </c>
      <c r="E59" t="str">
        <v>Red</v>
      </c>
      <c r="F59" t="str">
        <v>USA</v>
      </c>
      <c r="G59" t="str">
        <v>Online</v>
      </c>
      <c r="H59">
        <v>119.97</v>
      </c>
    </row>
    <row r="60" spans="1:8" x14ac:dyDescent="0.25">
      <c r="A60" t="str">
        <v>S319</v>
      </c>
      <c r="B60" s="5">
        <v>45674</v>
      </c>
      <c r="C60" t="str">
        <v>Adidas</v>
      </c>
      <c r="D60" t="str">
        <v>Boots</v>
      </c>
      <c r="E60" t="str">
        <v>Red</v>
      </c>
      <c r="F60" t="str">
        <v>France</v>
      </c>
      <c r="G60" t="str">
        <v>Retail Store</v>
      </c>
      <c r="H60">
        <v>64.42</v>
      </c>
    </row>
    <row r="61" spans="1:8" x14ac:dyDescent="0.25">
      <c r="A61" t="str">
        <v>S330</v>
      </c>
      <c r="B61" s="5">
        <v>45816</v>
      </c>
      <c r="C61" t="str">
        <v>Skechers</v>
      </c>
      <c r="D61" t="str">
        <v>Boots</v>
      </c>
      <c r="E61" t="str">
        <v>Red</v>
      </c>
      <c r="F61" t="str">
        <v>India</v>
      </c>
      <c r="G61" t="str">
        <v>Retail Store</v>
      </c>
      <c r="H61">
        <v>84.5</v>
      </c>
    </row>
    <row r="62" spans="1:8" x14ac:dyDescent="0.25">
      <c r="A62" t="str">
        <v>S340</v>
      </c>
      <c r="B62" s="5">
        <v>45986</v>
      </c>
      <c r="C62" t="str">
        <v>Puma</v>
      </c>
      <c r="D62" t="str">
        <v>Boots</v>
      </c>
      <c r="E62" t="str">
        <v>White</v>
      </c>
      <c r="F62" t="str">
        <v>Saudi Arabia</v>
      </c>
      <c r="G62" t="str">
        <v>Mall</v>
      </c>
      <c r="H62">
        <v>51.52</v>
      </c>
    </row>
    <row r="63" spans="1:8" x14ac:dyDescent="0.25">
      <c r="A63" t="str">
        <v>S353</v>
      </c>
      <c r="B63" s="5">
        <v>45878</v>
      </c>
      <c r="C63" t="str">
        <v>Puma</v>
      </c>
      <c r="D63" t="str">
        <v>Boots</v>
      </c>
      <c r="E63" t="str">
        <v>Blue</v>
      </c>
      <c r="F63" t="str">
        <v>Saudi Arabia</v>
      </c>
      <c r="G63" t="str">
        <v>Retail Store</v>
      </c>
      <c r="H63">
        <v>174.91</v>
      </c>
    </row>
    <row r="64" spans="1:8" x14ac:dyDescent="0.25">
      <c r="A64" t="str">
        <v>S356</v>
      </c>
      <c r="B64" s="5">
        <v>45939</v>
      </c>
      <c r="C64" t="str">
        <v>New Balance</v>
      </c>
      <c r="D64" t="str">
        <v>Boots</v>
      </c>
      <c r="E64" t="str">
        <v>Grey</v>
      </c>
      <c r="F64" t="str">
        <v>USA</v>
      </c>
      <c r="G64" t="str">
        <v>Online</v>
      </c>
      <c r="H64">
        <v>171.33</v>
      </c>
    </row>
    <row r="65" spans="1:8" x14ac:dyDescent="0.25">
      <c r="A65" t="str">
        <v>S361</v>
      </c>
      <c r="B65" s="5">
        <v>45741</v>
      </c>
      <c r="C65" t="str">
        <v>New Balance</v>
      </c>
      <c r="D65" t="str">
        <v>Boots</v>
      </c>
      <c r="E65" t="str">
        <v>Blue</v>
      </c>
      <c r="F65" t="str">
        <v>India</v>
      </c>
      <c r="G65" t="str">
        <v>Retail Store</v>
      </c>
      <c r="H65">
        <v>115.4</v>
      </c>
    </row>
    <row r="66" spans="1:8" x14ac:dyDescent="0.25">
      <c r="A66" t="str">
        <v>S364</v>
      </c>
      <c r="B66" s="5">
        <v>45956</v>
      </c>
      <c r="C66" t="str">
        <v>Skechers</v>
      </c>
      <c r="D66" t="str">
        <v>Boots</v>
      </c>
      <c r="E66" t="str">
        <v>Green</v>
      </c>
      <c r="F66" t="str">
        <v>USA</v>
      </c>
      <c r="G66" t="str">
        <v>Mall</v>
      </c>
      <c r="H66">
        <v>150.04</v>
      </c>
    </row>
    <row r="67" spans="1:8" x14ac:dyDescent="0.25">
      <c r="A67" t="str">
        <v>S367</v>
      </c>
      <c r="B67" s="5">
        <v>45975</v>
      </c>
      <c r="C67" t="str">
        <v>Adidas</v>
      </c>
      <c r="D67" t="str">
        <v>Boots</v>
      </c>
      <c r="E67" t="str">
        <v>White</v>
      </c>
      <c r="F67" t="str">
        <v>USA</v>
      </c>
      <c r="G67" t="str">
        <v>Mall</v>
      </c>
      <c r="H67">
        <v>241.46</v>
      </c>
    </row>
    <row r="68" spans="1:8" x14ac:dyDescent="0.25">
      <c r="A68" t="str">
        <v>S378</v>
      </c>
      <c r="B68" s="5">
        <v>45698</v>
      </c>
      <c r="C68" t="str">
        <v>Reebok</v>
      </c>
      <c r="D68" t="str">
        <v>Boots</v>
      </c>
      <c r="E68" t="str">
        <v>Blue</v>
      </c>
      <c r="F68" t="str">
        <v>UAE</v>
      </c>
      <c r="G68" t="str">
        <v>Retail Store</v>
      </c>
      <c r="H68">
        <v>35.119999999999997</v>
      </c>
    </row>
    <row r="69" spans="1:8" x14ac:dyDescent="0.25">
      <c r="A69" t="str">
        <v>S380</v>
      </c>
      <c r="B69" s="5">
        <v>45728</v>
      </c>
      <c r="C69" t="str">
        <v>New Balance</v>
      </c>
      <c r="D69" t="str">
        <v>Boots</v>
      </c>
      <c r="E69" t="str">
        <v>Grey</v>
      </c>
      <c r="F69" t="str">
        <v>UK</v>
      </c>
      <c r="G69" t="str">
        <v>Online</v>
      </c>
      <c r="H69">
        <v>92.01</v>
      </c>
    </row>
    <row r="70" spans="1:8" x14ac:dyDescent="0.25">
      <c r="A70" t="str">
        <v>S381</v>
      </c>
      <c r="B70" s="5">
        <v>45683</v>
      </c>
      <c r="C70" t="str">
        <v>Adidas</v>
      </c>
      <c r="D70" t="str">
        <v>Boots</v>
      </c>
      <c r="E70" t="str">
        <v>White</v>
      </c>
      <c r="F70" t="str">
        <v>USA</v>
      </c>
      <c r="G70" t="str">
        <v>Online</v>
      </c>
      <c r="H70">
        <v>56</v>
      </c>
    </row>
    <row r="71" spans="1:8" x14ac:dyDescent="0.25">
      <c r="A71" t="str">
        <v>S392</v>
      </c>
      <c r="B71" s="5">
        <v>45756</v>
      </c>
      <c r="C71" t="str">
        <v>New Balance</v>
      </c>
      <c r="D71" t="str">
        <v>Boots</v>
      </c>
      <c r="E71" t="str">
        <v>Red</v>
      </c>
      <c r="F71" t="str">
        <v>Saudi Arabia</v>
      </c>
      <c r="G71" t="str">
        <v>Retail Store</v>
      </c>
      <c r="H71">
        <v>120.78</v>
      </c>
    </row>
    <row r="72" spans="1:8" x14ac:dyDescent="0.25">
      <c r="A72" t="str">
        <v>S396</v>
      </c>
      <c r="B72" s="5">
        <v>45951</v>
      </c>
      <c r="C72" t="str">
        <v>Puma</v>
      </c>
      <c r="D72" t="str">
        <v>Boots</v>
      </c>
      <c r="E72" t="str">
        <v>Blue</v>
      </c>
      <c r="F72" t="str">
        <v>UAE</v>
      </c>
      <c r="G72" t="str">
        <v>Online</v>
      </c>
      <c r="H72">
        <v>234.77</v>
      </c>
    </row>
    <row r="73" spans="1:8" x14ac:dyDescent="0.25">
      <c r="A73" t="str">
        <v>S400</v>
      </c>
      <c r="B73" s="5">
        <v>45968</v>
      </c>
      <c r="C73" t="str">
        <v>Reebok</v>
      </c>
      <c r="D73" t="str">
        <v>Boots</v>
      </c>
      <c r="E73" t="str">
        <v>Grey</v>
      </c>
      <c r="F73" t="str">
        <v>Germany</v>
      </c>
      <c r="G73" t="str">
        <v>Mall</v>
      </c>
      <c r="H73">
        <v>196</v>
      </c>
    </row>
    <row r="74" spans="1:8" x14ac:dyDescent="0.25">
      <c r="A74" t="str">
        <v>S401</v>
      </c>
      <c r="B74" s="5">
        <v>45998</v>
      </c>
      <c r="C74" t="str">
        <v>Adidas</v>
      </c>
      <c r="D74" t="str">
        <v>Boots</v>
      </c>
      <c r="E74" t="str">
        <v>Grey</v>
      </c>
      <c r="F74" t="str">
        <v>Saudi Arabia</v>
      </c>
      <c r="G74" t="str">
        <v>Online</v>
      </c>
      <c r="H74">
        <v>52.69</v>
      </c>
    </row>
    <row r="75" spans="1:8" x14ac:dyDescent="0.25">
      <c r="A75" t="str">
        <v>S402</v>
      </c>
      <c r="B75" s="5">
        <v>45927</v>
      </c>
      <c r="C75" t="str">
        <v>New Balance</v>
      </c>
      <c r="D75" t="str">
        <v>Boots</v>
      </c>
      <c r="E75" t="str">
        <v>Blue</v>
      </c>
      <c r="F75" t="str">
        <v>USA</v>
      </c>
      <c r="G75" t="str">
        <v>Mall</v>
      </c>
      <c r="H75">
        <v>228.56</v>
      </c>
    </row>
    <row r="76" spans="1:8" x14ac:dyDescent="0.25">
      <c r="A76" t="str">
        <v>S412</v>
      </c>
      <c r="B76" s="5">
        <v>45850</v>
      </c>
      <c r="C76" t="str">
        <v>Skechers</v>
      </c>
      <c r="D76" t="str">
        <v>Boots</v>
      </c>
      <c r="E76" t="str">
        <v>Grey</v>
      </c>
      <c r="F76" t="str">
        <v>UK</v>
      </c>
      <c r="G76" t="str">
        <v>Mall</v>
      </c>
      <c r="H76">
        <v>239.01</v>
      </c>
    </row>
    <row r="77" spans="1:8" x14ac:dyDescent="0.25">
      <c r="A77" t="str">
        <v>S422</v>
      </c>
      <c r="B77" s="5">
        <v>45779</v>
      </c>
      <c r="C77" t="str">
        <v>Adidas</v>
      </c>
      <c r="D77" t="str">
        <v>Boots</v>
      </c>
      <c r="E77" t="str">
        <v>Grey</v>
      </c>
      <c r="F77" t="str">
        <v>UK</v>
      </c>
      <c r="G77" t="str">
        <v>Retail Store</v>
      </c>
      <c r="H77">
        <v>203.72</v>
      </c>
    </row>
    <row r="78" spans="1:8" x14ac:dyDescent="0.25">
      <c r="A78" t="str">
        <v>S429</v>
      </c>
      <c r="B78" s="5">
        <v>45788</v>
      </c>
      <c r="C78" t="str">
        <v>Puma</v>
      </c>
      <c r="D78" t="str">
        <v>Boots</v>
      </c>
      <c r="E78" t="str">
        <v>Black</v>
      </c>
      <c r="F78" t="str">
        <v>Germany</v>
      </c>
      <c r="G78" t="str">
        <v>Retail Store</v>
      </c>
      <c r="H78">
        <v>107.2</v>
      </c>
    </row>
    <row r="79" spans="1:8" x14ac:dyDescent="0.25">
      <c r="A79" t="str">
        <v>S441</v>
      </c>
      <c r="B79" s="5">
        <v>45783</v>
      </c>
      <c r="C79" t="str">
        <v>New Balance</v>
      </c>
      <c r="D79" t="str">
        <v>Boots</v>
      </c>
      <c r="E79" t="str">
        <v>Green</v>
      </c>
      <c r="F79" t="str">
        <v>France</v>
      </c>
      <c r="G79" t="str">
        <v>Retail Store</v>
      </c>
      <c r="H79">
        <v>48.66</v>
      </c>
    </row>
    <row r="80" spans="1:8" x14ac:dyDescent="0.25">
      <c r="A80" t="str">
        <v>S447</v>
      </c>
      <c r="B80" s="5">
        <v>45688</v>
      </c>
      <c r="C80" t="str">
        <v>Skechers</v>
      </c>
      <c r="D80" t="str">
        <v>Boots</v>
      </c>
      <c r="E80" t="str">
        <v>Grey</v>
      </c>
      <c r="F80" t="str">
        <v>Germany</v>
      </c>
      <c r="G80" t="str">
        <v>Mall</v>
      </c>
      <c r="H80">
        <v>246.92</v>
      </c>
    </row>
    <row r="81" spans="1:8" x14ac:dyDescent="0.25">
      <c r="A81" t="str">
        <v>S453</v>
      </c>
      <c r="B81" s="5">
        <v>45782</v>
      </c>
      <c r="C81" t="str">
        <v>Puma</v>
      </c>
      <c r="D81" t="str">
        <v>Boots</v>
      </c>
      <c r="E81" t="str">
        <v>Black</v>
      </c>
      <c r="F81" t="str">
        <v>UAE</v>
      </c>
      <c r="G81" t="str">
        <v>Mall</v>
      </c>
      <c r="H81">
        <v>123.33</v>
      </c>
    </row>
    <row r="82" spans="1:8" x14ac:dyDescent="0.25">
      <c r="A82" t="str">
        <v>S458</v>
      </c>
      <c r="B82" s="5">
        <v>45801</v>
      </c>
      <c r="C82" t="str">
        <v>New Balance</v>
      </c>
      <c r="D82" t="str">
        <v>Boots</v>
      </c>
      <c r="E82" t="str">
        <v>Black</v>
      </c>
      <c r="F82" t="str">
        <v>UK</v>
      </c>
      <c r="G82" t="str">
        <v>Retail Store</v>
      </c>
      <c r="H82">
        <v>133.11000000000001</v>
      </c>
    </row>
    <row r="83" spans="1:8" x14ac:dyDescent="0.25">
      <c r="A83" t="str">
        <v>S479</v>
      </c>
      <c r="B83" s="5">
        <v>45883</v>
      </c>
      <c r="C83" t="str">
        <v>Reebok</v>
      </c>
      <c r="D83" t="str">
        <v>Boots</v>
      </c>
      <c r="E83" t="str">
        <v>Grey</v>
      </c>
      <c r="F83" t="str">
        <v>UK</v>
      </c>
      <c r="G83" t="str">
        <v>Retail Store</v>
      </c>
      <c r="H83">
        <v>243.25</v>
      </c>
    </row>
    <row r="84" spans="1:8" x14ac:dyDescent="0.25">
      <c r="A84" t="str">
        <v>S481</v>
      </c>
      <c r="B84" s="5">
        <v>45861</v>
      </c>
      <c r="C84" t="str">
        <v>Puma</v>
      </c>
      <c r="D84" t="str">
        <v>Boots</v>
      </c>
      <c r="E84" t="str">
        <v>Green</v>
      </c>
      <c r="F84" t="str">
        <v>UAE</v>
      </c>
      <c r="G84" t="str">
        <v>Retail Store</v>
      </c>
      <c r="H84">
        <v>168.47</v>
      </c>
    </row>
    <row r="85" spans="1:8" x14ac:dyDescent="0.25">
      <c r="A85" t="str">
        <v>S484</v>
      </c>
      <c r="B85" s="5">
        <v>46007</v>
      </c>
      <c r="C85" t="str">
        <v>Nike</v>
      </c>
      <c r="D85" t="str">
        <v>Boots</v>
      </c>
      <c r="E85" t="str">
        <v>Red</v>
      </c>
      <c r="F85" t="str">
        <v>UAE</v>
      </c>
      <c r="G85" t="str">
        <v>Online</v>
      </c>
      <c r="H85">
        <v>168.06</v>
      </c>
    </row>
    <row r="86" spans="1:8" x14ac:dyDescent="0.25">
      <c r="A86" t="str">
        <v>S488</v>
      </c>
      <c r="B86" s="5">
        <v>45863</v>
      </c>
      <c r="C86" t="str">
        <v>New Balance</v>
      </c>
      <c r="D86" t="str">
        <v>Boots</v>
      </c>
      <c r="E86" t="str">
        <v>Red</v>
      </c>
      <c r="F86" t="str">
        <v>India</v>
      </c>
      <c r="G86" t="str">
        <v>Online</v>
      </c>
      <c r="H86">
        <v>91.81</v>
      </c>
    </row>
    <row r="87" spans="1:8" x14ac:dyDescent="0.25">
      <c r="A87" t="str">
        <v>S489</v>
      </c>
      <c r="B87" s="5">
        <v>45842</v>
      </c>
      <c r="C87" t="str">
        <v>New Balance</v>
      </c>
      <c r="D87" t="str">
        <v>Boots</v>
      </c>
      <c r="E87" t="str">
        <v>Black</v>
      </c>
      <c r="F87" t="str">
        <v>USA</v>
      </c>
      <c r="G87" t="str">
        <v>Online</v>
      </c>
      <c r="H87">
        <v>239.09</v>
      </c>
    </row>
    <row r="88" spans="1:8" x14ac:dyDescent="0.25">
      <c r="A88" t="str">
        <v>S490</v>
      </c>
      <c r="B88" s="5">
        <v>45994</v>
      </c>
      <c r="C88" t="str">
        <v>Adidas</v>
      </c>
      <c r="D88" t="str">
        <v>Boots</v>
      </c>
      <c r="E88" t="str">
        <v>Grey</v>
      </c>
      <c r="F88" t="str">
        <v>USA</v>
      </c>
      <c r="G88" t="str">
        <v>Mall</v>
      </c>
      <c r="H88">
        <v>225.86</v>
      </c>
    </row>
    <row r="89" spans="1:8" x14ac:dyDescent="0.25">
      <c r="A89" t="str">
        <v>S492</v>
      </c>
      <c r="B89" s="5">
        <v>45790</v>
      </c>
      <c r="C89" t="str">
        <v>New Balance</v>
      </c>
      <c r="D89" t="str">
        <v>Boots</v>
      </c>
      <c r="E89" t="str">
        <v>Grey</v>
      </c>
      <c r="F89" t="str">
        <v>India</v>
      </c>
      <c r="G89" t="str">
        <v>Mall</v>
      </c>
      <c r="H89">
        <v>166.43</v>
      </c>
    </row>
    <row r="90" spans="1:8" x14ac:dyDescent="0.25">
      <c r="A90" t="str">
        <v>S499</v>
      </c>
      <c r="B90" s="5">
        <v>45716</v>
      </c>
      <c r="C90" t="str">
        <v>Puma</v>
      </c>
      <c r="D90" t="str">
        <v>Boots</v>
      </c>
      <c r="E90" t="str">
        <v>Black</v>
      </c>
      <c r="F90" t="str">
        <v>UAE</v>
      </c>
      <c r="G90" t="str">
        <v>Online</v>
      </c>
      <c r="H90">
        <v>244.37</v>
      </c>
    </row>
    <row r="91" spans="1:8" x14ac:dyDescent="0.25">
      <c r="A91" t="str">
        <v>S506</v>
      </c>
      <c r="B91" s="5">
        <v>46001</v>
      </c>
      <c r="C91" t="str">
        <v>New Balance</v>
      </c>
      <c r="D91" t="str">
        <v>Boots</v>
      </c>
      <c r="E91" t="str">
        <v>Blue</v>
      </c>
      <c r="F91" t="str">
        <v>India</v>
      </c>
      <c r="G91" t="str">
        <v>Retail Store</v>
      </c>
      <c r="H91">
        <v>65.78</v>
      </c>
    </row>
    <row r="92" spans="1:8" x14ac:dyDescent="0.25">
      <c r="A92" t="str">
        <v>S508</v>
      </c>
      <c r="B92" s="5">
        <v>45974</v>
      </c>
      <c r="C92" t="str">
        <v>Skechers</v>
      </c>
      <c r="D92" t="str">
        <v>Boots</v>
      </c>
      <c r="E92" t="str">
        <v>Blue</v>
      </c>
      <c r="F92" t="str">
        <v>India</v>
      </c>
      <c r="G92" t="str">
        <v>Mall</v>
      </c>
      <c r="H92">
        <v>210.96</v>
      </c>
    </row>
    <row r="93" spans="1:8" x14ac:dyDescent="0.25">
      <c r="A93" t="str">
        <v>S512</v>
      </c>
      <c r="B93" s="5">
        <v>45983</v>
      </c>
      <c r="C93" t="str">
        <v>Skechers</v>
      </c>
      <c r="D93" t="str">
        <v>Boots</v>
      </c>
      <c r="E93" t="str">
        <v>White</v>
      </c>
      <c r="F93" t="str">
        <v>India</v>
      </c>
      <c r="G93" t="str">
        <v>Online</v>
      </c>
      <c r="H93">
        <v>122.01</v>
      </c>
    </row>
    <row r="94" spans="1:8" x14ac:dyDescent="0.25">
      <c r="A94" t="str">
        <v>S515</v>
      </c>
      <c r="B94" s="5">
        <v>45854</v>
      </c>
      <c r="C94" t="str">
        <v>New Balance</v>
      </c>
      <c r="D94" t="str">
        <v>Boots</v>
      </c>
      <c r="E94" t="str">
        <v>Red</v>
      </c>
      <c r="F94" t="str">
        <v>Germany</v>
      </c>
      <c r="G94" t="str">
        <v>Mall</v>
      </c>
      <c r="H94">
        <v>39.950000000000003</v>
      </c>
    </row>
    <row r="95" spans="1:8" x14ac:dyDescent="0.25">
      <c r="A95" t="str">
        <v>S520</v>
      </c>
      <c r="B95" s="5">
        <v>45845</v>
      </c>
      <c r="C95" t="str">
        <v>Nike</v>
      </c>
      <c r="D95" t="str">
        <v>Boots</v>
      </c>
      <c r="E95" t="str">
        <v>Red</v>
      </c>
      <c r="F95" t="str">
        <v>India</v>
      </c>
      <c r="G95" t="str">
        <v>Online</v>
      </c>
      <c r="H95">
        <v>63.09</v>
      </c>
    </row>
    <row r="96" spans="1:8" x14ac:dyDescent="0.25">
      <c r="A96" t="str">
        <v>S521</v>
      </c>
      <c r="B96" s="5">
        <v>45875</v>
      </c>
      <c r="C96" t="str">
        <v>Skechers</v>
      </c>
      <c r="D96" t="str">
        <v>Boots</v>
      </c>
      <c r="E96" t="str">
        <v>White</v>
      </c>
      <c r="F96" t="str">
        <v>France</v>
      </c>
      <c r="G96" t="str">
        <v>Online</v>
      </c>
      <c r="H96">
        <v>160.71</v>
      </c>
    </row>
    <row r="97" spans="1:8" x14ac:dyDescent="0.25">
      <c r="A97" t="str">
        <v>S526</v>
      </c>
      <c r="B97" s="5">
        <v>45933</v>
      </c>
      <c r="C97" t="str">
        <v>Puma</v>
      </c>
      <c r="D97" t="str">
        <v>Boots</v>
      </c>
      <c r="E97" t="str">
        <v>Blue</v>
      </c>
      <c r="F97" t="str">
        <v>France</v>
      </c>
      <c r="G97" t="str">
        <v>Mall</v>
      </c>
      <c r="H97">
        <v>133.11000000000001</v>
      </c>
    </row>
    <row r="98" spans="1:8" x14ac:dyDescent="0.25">
      <c r="A98" t="str">
        <v>S540</v>
      </c>
      <c r="B98" s="5">
        <v>45786</v>
      </c>
      <c r="C98" t="str">
        <v>Puma</v>
      </c>
      <c r="D98" t="str">
        <v>Boots</v>
      </c>
      <c r="E98" t="str">
        <v>Green</v>
      </c>
      <c r="F98" t="str">
        <v>UK</v>
      </c>
      <c r="G98" t="str">
        <v>Online</v>
      </c>
      <c r="H98">
        <v>58.42</v>
      </c>
    </row>
    <row r="99" spans="1:8" x14ac:dyDescent="0.25">
      <c r="A99" t="str">
        <v>S541</v>
      </c>
      <c r="B99" s="5">
        <v>45860</v>
      </c>
      <c r="C99" t="str">
        <v>Skechers</v>
      </c>
      <c r="D99" t="str">
        <v>Boots</v>
      </c>
      <c r="E99" t="str">
        <v>White</v>
      </c>
      <c r="F99" t="str">
        <v>Germany</v>
      </c>
      <c r="G99" t="str">
        <v>Mall</v>
      </c>
      <c r="H99">
        <v>239.89</v>
      </c>
    </row>
    <row r="100" spans="1:8" x14ac:dyDescent="0.25">
      <c r="A100" t="str">
        <v>S543</v>
      </c>
      <c r="B100" s="5">
        <v>45961</v>
      </c>
      <c r="C100" t="str">
        <v>New Balance</v>
      </c>
      <c r="D100" t="str">
        <v>Boots</v>
      </c>
      <c r="E100" t="str">
        <v>Red</v>
      </c>
      <c r="F100" t="str">
        <v>USA</v>
      </c>
      <c r="G100" t="str">
        <v>Online</v>
      </c>
      <c r="H100">
        <v>80.3</v>
      </c>
    </row>
    <row r="101" spans="1:8" x14ac:dyDescent="0.25">
      <c r="A101" t="str">
        <v>S549</v>
      </c>
      <c r="B101" s="5">
        <v>45735</v>
      </c>
      <c r="C101" t="str">
        <v>New Balance</v>
      </c>
      <c r="D101" t="str">
        <v>Boots</v>
      </c>
      <c r="E101" t="str">
        <v>Red</v>
      </c>
      <c r="F101" t="str">
        <v>Saudi Arabia</v>
      </c>
      <c r="G101" t="str">
        <v>Online</v>
      </c>
      <c r="H101">
        <v>144.47</v>
      </c>
    </row>
    <row r="102" spans="1:8" x14ac:dyDescent="0.25">
      <c r="A102" t="str">
        <v>S563</v>
      </c>
      <c r="B102" s="5">
        <v>45858</v>
      </c>
      <c r="C102" t="str">
        <v>Skechers</v>
      </c>
      <c r="D102" t="str">
        <v>Boots</v>
      </c>
      <c r="E102" t="str">
        <v>Green</v>
      </c>
      <c r="F102" t="str">
        <v>UAE</v>
      </c>
      <c r="G102" t="str">
        <v>Online</v>
      </c>
      <c r="H102">
        <v>60</v>
      </c>
    </row>
    <row r="103" spans="1:8" x14ac:dyDescent="0.25">
      <c r="A103" t="str">
        <v>S572</v>
      </c>
      <c r="B103" s="5">
        <v>45788</v>
      </c>
      <c r="C103" t="str">
        <v>New Balance</v>
      </c>
      <c r="D103" t="str">
        <v>Boots</v>
      </c>
      <c r="E103" t="str">
        <v>Green</v>
      </c>
      <c r="F103" t="str">
        <v>USA</v>
      </c>
      <c r="G103" t="str">
        <v>Online</v>
      </c>
      <c r="H103">
        <v>202.4</v>
      </c>
    </row>
    <row r="104" spans="1:8" x14ac:dyDescent="0.25">
      <c r="A104" t="str">
        <v>S582</v>
      </c>
      <c r="B104" s="5">
        <v>45935</v>
      </c>
      <c r="C104" t="str">
        <v>Skechers</v>
      </c>
      <c r="D104" t="str">
        <v>Boots</v>
      </c>
      <c r="E104" t="str">
        <v>Black</v>
      </c>
      <c r="F104" t="str">
        <v>France</v>
      </c>
      <c r="G104" t="str">
        <v>Online</v>
      </c>
      <c r="H104">
        <v>245.61</v>
      </c>
    </row>
    <row r="105" spans="1:8" x14ac:dyDescent="0.25">
      <c r="A105" t="str">
        <v>S583</v>
      </c>
      <c r="B105" s="5">
        <v>45994</v>
      </c>
      <c r="C105" t="str">
        <v>Skechers</v>
      </c>
      <c r="D105" t="str">
        <v>Boots</v>
      </c>
      <c r="E105" t="str">
        <v>Blue</v>
      </c>
      <c r="F105" t="str">
        <v>USA</v>
      </c>
      <c r="G105" t="str">
        <v>Online</v>
      </c>
      <c r="H105">
        <v>138.38</v>
      </c>
    </row>
    <row r="106" spans="1:8" x14ac:dyDescent="0.25">
      <c r="A106" t="str">
        <v>S600</v>
      </c>
      <c r="B106" s="5">
        <v>45669</v>
      </c>
      <c r="C106" t="str">
        <v>Adidas</v>
      </c>
      <c r="D106" t="str">
        <v>Boots</v>
      </c>
      <c r="E106" t="str">
        <v>Red</v>
      </c>
      <c r="F106" t="str">
        <v>Saudi Arabia</v>
      </c>
      <c r="G106" t="str">
        <v>Online</v>
      </c>
      <c r="H106">
        <v>38.99</v>
      </c>
    </row>
    <row r="107" spans="1:8" x14ac:dyDescent="0.25">
      <c r="A107" t="str">
        <v>S631</v>
      </c>
      <c r="B107" s="5">
        <v>45682</v>
      </c>
      <c r="C107" t="str">
        <v>Reebok</v>
      </c>
      <c r="D107" t="str">
        <v>Boots</v>
      </c>
      <c r="E107" t="str">
        <v>Red</v>
      </c>
      <c r="F107" t="str">
        <v>UK</v>
      </c>
      <c r="G107" t="str">
        <v>Retail Store</v>
      </c>
      <c r="H107">
        <v>186.94</v>
      </c>
    </row>
    <row r="108" spans="1:8" x14ac:dyDescent="0.25">
      <c r="A108" t="str">
        <v>S635</v>
      </c>
      <c r="B108" s="5">
        <v>45745</v>
      </c>
      <c r="C108" t="str">
        <v>Adidas</v>
      </c>
      <c r="D108" t="str">
        <v>Boots</v>
      </c>
      <c r="E108" t="str">
        <v>Black</v>
      </c>
      <c r="F108" t="str">
        <v>India</v>
      </c>
      <c r="G108" t="str">
        <v>Online</v>
      </c>
      <c r="H108">
        <v>53.58</v>
      </c>
    </row>
    <row r="109" spans="1:8" x14ac:dyDescent="0.25">
      <c r="A109" t="str">
        <v>S647</v>
      </c>
      <c r="B109" s="5">
        <v>45946</v>
      </c>
      <c r="C109" t="str">
        <v>Adidas</v>
      </c>
      <c r="D109" t="str">
        <v>Boots</v>
      </c>
      <c r="E109" t="str">
        <v>Green</v>
      </c>
      <c r="F109" t="str">
        <v>USA</v>
      </c>
      <c r="G109" t="str">
        <v>Online</v>
      </c>
      <c r="H109">
        <v>160.59</v>
      </c>
    </row>
    <row r="110" spans="1:8" x14ac:dyDescent="0.25">
      <c r="A110" t="str">
        <v>S656</v>
      </c>
      <c r="B110" s="5">
        <v>45924</v>
      </c>
      <c r="C110" t="str">
        <v>Nike</v>
      </c>
      <c r="D110" t="str">
        <v>Boots</v>
      </c>
      <c r="E110" t="str">
        <v>Grey</v>
      </c>
      <c r="F110" t="str">
        <v>India</v>
      </c>
      <c r="G110" t="str">
        <v>Mall</v>
      </c>
      <c r="H110">
        <v>58.07</v>
      </c>
    </row>
    <row r="111" spans="1:8" x14ac:dyDescent="0.25">
      <c r="A111" t="str">
        <v>S661</v>
      </c>
      <c r="B111" s="5">
        <v>45731</v>
      </c>
      <c r="C111" t="str">
        <v>New Balance</v>
      </c>
      <c r="D111" t="str">
        <v>Boots</v>
      </c>
      <c r="E111" t="str">
        <v>Green</v>
      </c>
      <c r="F111" t="str">
        <v>Germany</v>
      </c>
      <c r="G111" t="str">
        <v>Online</v>
      </c>
      <c r="H111">
        <v>108.34</v>
      </c>
    </row>
    <row r="112" spans="1:8" x14ac:dyDescent="0.25">
      <c r="A112" t="str">
        <v>S673</v>
      </c>
      <c r="B112" s="5">
        <v>45834</v>
      </c>
      <c r="C112" t="str">
        <v>Puma</v>
      </c>
      <c r="D112" t="str">
        <v>Boots</v>
      </c>
      <c r="E112" t="str">
        <v>Green</v>
      </c>
      <c r="F112" t="str">
        <v>USA</v>
      </c>
      <c r="G112" t="str">
        <v>Retail Store</v>
      </c>
      <c r="H112">
        <v>47.65</v>
      </c>
    </row>
    <row r="113" spans="1:8" x14ac:dyDescent="0.25">
      <c r="A113" t="str">
        <v>S679</v>
      </c>
      <c r="B113" s="5">
        <v>45769</v>
      </c>
      <c r="C113" t="str">
        <v>Puma</v>
      </c>
      <c r="D113" t="str">
        <v>Boots</v>
      </c>
      <c r="E113" t="str">
        <v>Grey</v>
      </c>
      <c r="F113" t="str">
        <v>Saudi Arabia</v>
      </c>
      <c r="G113" t="str">
        <v>Mall</v>
      </c>
      <c r="H113">
        <v>243.28</v>
      </c>
    </row>
    <row r="114" spans="1:8" x14ac:dyDescent="0.25">
      <c r="A114" t="str">
        <v>S684</v>
      </c>
      <c r="B114" s="5">
        <v>45687</v>
      </c>
      <c r="C114" t="str">
        <v>Reebok</v>
      </c>
      <c r="D114" t="str">
        <v>Boots</v>
      </c>
      <c r="E114" t="str">
        <v>Blue</v>
      </c>
      <c r="F114" t="str">
        <v>UAE</v>
      </c>
      <c r="G114" t="str">
        <v>Online</v>
      </c>
      <c r="H114">
        <v>177.1</v>
      </c>
    </row>
    <row r="115" spans="1:8" x14ac:dyDescent="0.25">
      <c r="A115" t="str">
        <v>S700</v>
      </c>
      <c r="B115" s="5">
        <v>45677</v>
      </c>
      <c r="C115" t="str">
        <v>Adidas</v>
      </c>
      <c r="D115" t="str">
        <v>Boots</v>
      </c>
      <c r="E115" t="str">
        <v>Blue</v>
      </c>
      <c r="F115" t="str">
        <v>USA</v>
      </c>
      <c r="G115" t="str">
        <v>Retail Store</v>
      </c>
      <c r="H115">
        <v>135.85</v>
      </c>
    </row>
    <row r="116" spans="1:8" x14ac:dyDescent="0.25">
      <c r="A116" t="str">
        <v>S701</v>
      </c>
      <c r="B116" s="5">
        <v>45929</v>
      </c>
      <c r="C116" t="str">
        <v>Nike</v>
      </c>
      <c r="D116" t="str">
        <v>Boots</v>
      </c>
      <c r="E116" t="str">
        <v>Black</v>
      </c>
      <c r="F116" t="str">
        <v>UAE</v>
      </c>
      <c r="G116" t="str">
        <v>Mall</v>
      </c>
      <c r="H116">
        <v>147.16999999999999</v>
      </c>
    </row>
    <row r="117" spans="1:8" x14ac:dyDescent="0.25">
      <c r="A117" t="str">
        <v>S704</v>
      </c>
      <c r="B117" s="5">
        <v>45810</v>
      </c>
      <c r="C117" t="str">
        <v>Reebok</v>
      </c>
      <c r="D117" t="str">
        <v>Boots</v>
      </c>
      <c r="E117" t="str">
        <v>Grey</v>
      </c>
      <c r="F117" t="str">
        <v>India</v>
      </c>
      <c r="G117" t="str">
        <v>Mall</v>
      </c>
      <c r="H117">
        <v>59.57</v>
      </c>
    </row>
    <row r="118" spans="1:8" x14ac:dyDescent="0.25">
      <c r="A118" t="str">
        <v>S708</v>
      </c>
      <c r="B118" s="5">
        <v>45721</v>
      </c>
      <c r="C118" t="str">
        <v>Skechers</v>
      </c>
      <c r="D118" t="str">
        <v>Boots</v>
      </c>
      <c r="E118" t="str">
        <v>Black</v>
      </c>
      <c r="F118" t="str">
        <v>Germany</v>
      </c>
      <c r="G118" t="str">
        <v>Mall</v>
      </c>
      <c r="H118">
        <v>208.17</v>
      </c>
    </row>
    <row r="119" spans="1:8" x14ac:dyDescent="0.25">
      <c r="A119" t="str">
        <v>S710</v>
      </c>
      <c r="B119" s="5">
        <v>45713</v>
      </c>
      <c r="C119" t="str">
        <v>Nike</v>
      </c>
      <c r="D119" t="str">
        <v>Boots</v>
      </c>
      <c r="E119" t="str">
        <v>Black</v>
      </c>
      <c r="F119" t="str">
        <v>Germany</v>
      </c>
      <c r="G119" t="str">
        <v>Retail Store</v>
      </c>
      <c r="H119">
        <v>179.93</v>
      </c>
    </row>
    <row r="120" spans="1:8" x14ac:dyDescent="0.25">
      <c r="A120" t="str">
        <v>S716</v>
      </c>
      <c r="B120" s="5">
        <v>45925</v>
      </c>
      <c r="C120" t="str">
        <v>Puma</v>
      </c>
      <c r="D120" t="str">
        <v>Boots</v>
      </c>
      <c r="E120" t="str">
        <v>Red</v>
      </c>
      <c r="F120" t="str">
        <v>France</v>
      </c>
      <c r="G120" t="str">
        <v>Online</v>
      </c>
      <c r="H120">
        <v>234.5</v>
      </c>
    </row>
    <row r="121" spans="1:8" x14ac:dyDescent="0.25">
      <c r="A121" t="str">
        <v>S718</v>
      </c>
      <c r="B121" s="5">
        <v>45778</v>
      </c>
      <c r="C121" t="str">
        <v>Nike</v>
      </c>
      <c r="D121" t="str">
        <v>Boots</v>
      </c>
      <c r="E121" t="str">
        <v>Black</v>
      </c>
      <c r="F121" t="str">
        <v>USA</v>
      </c>
      <c r="G121" t="str">
        <v>Mall</v>
      </c>
      <c r="H121">
        <v>242.31</v>
      </c>
    </row>
    <row r="122" spans="1:8" x14ac:dyDescent="0.25">
      <c r="A122" t="str">
        <v>S722</v>
      </c>
      <c r="B122" s="5">
        <v>45842</v>
      </c>
      <c r="C122" t="str">
        <v>Reebok</v>
      </c>
      <c r="D122" t="str">
        <v>Boots</v>
      </c>
      <c r="E122" t="str">
        <v>Black</v>
      </c>
      <c r="F122" t="str">
        <v>USA</v>
      </c>
      <c r="G122" t="str">
        <v>Online</v>
      </c>
      <c r="H122">
        <v>69.87</v>
      </c>
    </row>
    <row r="123" spans="1:8" x14ac:dyDescent="0.25">
      <c r="A123" t="str">
        <v>S723</v>
      </c>
      <c r="B123" s="5">
        <v>45662</v>
      </c>
      <c r="C123" t="str">
        <v>Skechers</v>
      </c>
      <c r="D123" t="str">
        <v>Boots</v>
      </c>
      <c r="E123" t="str">
        <v>White</v>
      </c>
      <c r="F123" t="str">
        <v>France</v>
      </c>
      <c r="G123" t="str">
        <v>Retail Store</v>
      </c>
      <c r="H123">
        <v>44.63</v>
      </c>
    </row>
    <row r="124" spans="1:8" x14ac:dyDescent="0.25">
      <c r="A124" t="str">
        <v>S724</v>
      </c>
      <c r="B124" s="5">
        <v>45882</v>
      </c>
      <c r="C124" t="str">
        <v>Puma</v>
      </c>
      <c r="D124" t="str">
        <v>Boots</v>
      </c>
      <c r="E124" t="str">
        <v>Black</v>
      </c>
      <c r="F124" t="str">
        <v>France</v>
      </c>
      <c r="G124" t="str">
        <v>Retail Store</v>
      </c>
      <c r="H124">
        <v>193.05</v>
      </c>
    </row>
    <row r="125" spans="1:8" x14ac:dyDescent="0.25">
      <c r="A125" t="str">
        <v>S726</v>
      </c>
      <c r="B125" s="5">
        <v>46011</v>
      </c>
      <c r="C125" t="str">
        <v>Reebok</v>
      </c>
      <c r="D125" t="str">
        <v>Boots</v>
      </c>
      <c r="E125" t="str">
        <v>White</v>
      </c>
      <c r="F125" t="str">
        <v>USA</v>
      </c>
      <c r="G125" t="str">
        <v>Online</v>
      </c>
      <c r="H125">
        <v>215.2</v>
      </c>
    </row>
    <row r="126" spans="1:8" x14ac:dyDescent="0.25">
      <c r="A126" t="str">
        <v>S729</v>
      </c>
      <c r="B126" s="5">
        <v>45971</v>
      </c>
      <c r="C126" t="str">
        <v>Skechers</v>
      </c>
      <c r="D126" t="str">
        <v>Boots</v>
      </c>
      <c r="E126" t="str">
        <v>White</v>
      </c>
      <c r="F126" t="str">
        <v>Germany</v>
      </c>
      <c r="G126" t="str">
        <v>Retail Store</v>
      </c>
      <c r="H126">
        <v>74.36</v>
      </c>
    </row>
    <row r="127" spans="1:8" x14ac:dyDescent="0.25">
      <c r="A127" t="str">
        <v>S731</v>
      </c>
      <c r="B127" s="5">
        <v>45818</v>
      </c>
      <c r="C127" t="str">
        <v>Skechers</v>
      </c>
      <c r="D127" t="str">
        <v>Boots</v>
      </c>
      <c r="E127" t="str">
        <v>Grey</v>
      </c>
      <c r="F127" t="str">
        <v>Saudi Arabia</v>
      </c>
      <c r="G127" t="str">
        <v>Mall</v>
      </c>
      <c r="H127">
        <v>66.14</v>
      </c>
    </row>
    <row r="128" spans="1:8" x14ac:dyDescent="0.25">
      <c r="A128" t="str">
        <v>S732</v>
      </c>
      <c r="B128" s="5">
        <v>45953</v>
      </c>
      <c r="C128" t="str">
        <v>Adidas</v>
      </c>
      <c r="D128" t="str">
        <v>Boots</v>
      </c>
      <c r="E128" t="str">
        <v>Blue</v>
      </c>
      <c r="F128" t="str">
        <v>India</v>
      </c>
      <c r="G128" t="str">
        <v>Mall</v>
      </c>
      <c r="H128">
        <v>209.21</v>
      </c>
    </row>
    <row r="129" spans="1:8" x14ac:dyDescent="0.25">
      <c r="A129" t="str">
        <v>S734</v>
      </c>
      <c r="B129" s="5">
        <v>45904</v>
      </c>
      <c r="C129" t="str">
        <v>Skechers</v>
      </c>
      <c r="D129" t="str">
        <v>Boots</v>
      </c>
      <c r="E129" t="str">
        <v>Green</v>
      </c>
      <c r="F129" t="str">
        <v>Germany</v>
      </c>
      <c r="G129" t="str">
        <v>Online</v>
      </c>
      <c r="H129">
        <v>145.07</v>
      </c>
    </row>
    <row r="130" spans="1:8" x14ac:dyDescent="0.25">
      <c r="A130" t="str">
        <v>S742</v>
      </c>
      <c r="B130" s="5">
        <v>45918</v>
      </c>
      <c r="C130" t="str">
        <v>Adidas</v>
      </c>
      <c r="D130" t="str">
        <v>Boots</v>
      </c>
      <c r="E130" t="str">
        <v>Green</v>
      </c>
      <c r="F130" t="str">
        <v>Germany</v>
      </c>
      <c r="G130" t="str">
        <v>Retail Store</v>
      </c>
      <c r="H130">
        <v>96.3</v>
      </c>
    </row>
    <row r="131" spans="1:8" x14ac:dyDescent="0.25">
      <c r="A131" t="str">
        <v>S744</v>
      </c>
      <c r="B131" s="5">
        <v>45965</v>
      </c>
      <c r="C131" t="str">
        <v>Skechers</v>
      </c>
      <c r="D131" t="str">
        <v>Boots</v>
      </c>
      <c r="E131" t="str">
        <v>Blue</v>
      </c>
      <c r="F131" t="str">
        <v>UAE</v>
      </c>
      <c r="G131" t="str">
        <v>Retail Store</v>
      </c>
      <c r="H131">
        <v>140.6</v>
      </c>
    </row>
    <row r="132" spans="1:8" x14ac:dyDescent="0.25">
      <c r="A132" t="str">
        <v>S750</v>
      </c>
      <c r="B132" s="5">
        <v>45870</v>
      </c>
      <c r="C132" t="str">
        <v>Skechers</v>
      </c>
      <c r="D132" t="str">
        <v>Boots</v>
      </c>
      <c r="E132" t="str">
        <v>Grey</v>
      </c>
      <c r="F132" t="str">
        <v>USA</v>
      </c>
      <c r="G132" t="str">
        <v>Retail Store</v>
      </c>
      <c r="H132">
        <v>167.33</v>
      </c>
    </row>
    <row r="133" spans="1:8" x14ac:dyDescent="0.25">
      <c r="A133" t="str">
        <v>S753</v>
      </c>
      <c r="B133" s="5">
        <v>46012</v>
      </c>
      <c r="C133" t="str">
        <v>Adidas</v>
      </c>
      <c r="D133" t="str">
        <v>Boots</v>
      </c>
      <c r="E133" t="str">
        <v>White</v>
      </c>
      <c r="F133" t="str">
        <v>USA</v>
      </c>
      <c r="G133" t="str">
        <v>Retail Store</v>
      </c>
      <c r="H133">
        <v>168.1</v>
      </c>
    </row>
    <row r="134" spans="1:8" x14ac:dyDescent="0.25">
      <c r="A134" t="str">
        <v>S757</v>
      </c>
      <c r="B134" s="5">
        <v>45811</v>
      </c>
      <c r="C134" t="str">
        <v>Puma</v>
      </c>
      <c r="D134" t="str">
        <v>Boots</v>
      </c>
      <c r="E134" t="str">
        <v>Green</v>
      </c>
      <c r="F134" t="str">
        <v>India</v>
      </c>
      <c r="G134" t="str">
        <v>Mall</v>
      </c>
      <c r="H134">
        <v>166.42</v>
      </c>
    </row>
    <row r="135" spans="1:8" x14ac:dyDescent="0.25">
      <c r="A135" t="str">
        <v>S759</v>
      </c>
      <c r="B135" s="5">
        <v>45834</v>
      </c>
      <c r="C135" t="str">
        <v>Skechers</v>
      </c>
      <c r="D135" t="str">
        <v>Boots</v>
      </c>
      <c r="E135" t="str">
        <v>White</v>
      </c>
      <c r="F135" t="str">
        <v>India</v>
      </c>
      <c r="G135" t="str">
        <v>Mall</v>
      </c>
      <c r="H135">
        <v>226.66</v>
      </c>
    </row>
    <row r="136" spans="1:8" x14ac:dyDescent="0.25">
      <c r="A136" t="str">
        <v>S761</v>
      </c>
      <c r="B136" s="5">
        <v>45956</v>
      </c>
      <c r="C136" t="str">
        <v>Skechers</v>
      </c>
      <c r="D136" t="str">
        <v>Boots</v>
      </c>
      <c r="E136" t="str">
        <v>Red</v>
      </c>
      <c r="F136" t="str">
        <v>UAE</v>
      </c>
      <c r="G136" t="str">
        <v>Mall</v>
      </c>
      <c r="H136">
        <v>63.37</v>
      </c>
    </row>
    <row r="137" spans="1:8" x14ac:dyDescent="0.25">
      <c r="A137" t="str">
        <v>S763</v>
      </c>
      <c r="B137" s="5">
        <v>45853</v>
      </c>
      <c r="C137" t="str">
        <v>Nike</v>
      </c>
      <c r="D137" t="str">
        <v>Boots</v>
      </c>
      <c r="E137" t="str">
        <v>Black</v>
      </c>
      <c r="F137" t="str">
        <v>UK</v>
      </c>
      <c r="G137" t="str">
        <v>Retail Store</v>
      </c>
      <c r="H137">
        <v>84.67</v>
      </c>
    </row>
    <row r="138" spans="1:8" x14ac:dyDescent="0.25">
      <c r="A138" t="str">
        <v>S766</v>
      </c>
      <c r="B138" s="5">
        <v>45710</v>
      </c>
      <c r="C138" t="str">
        <v>Skechers</v>
      </c>
      <c r="D138" t="str">
        <v>Boots</v>
      </c>
      <c r="E138" t="str">
        <v>Grey</v>
      </c>
      <c r="F138" t="str">
        <v>Saudi Arabia</v>
      </c>
      <c r="G138" t="str">
        <v>Online</v>
      </c>
      <c r="H138">
        <v>155.38</v>
      </c>
    </row>
    <row r="139" spans="1:8" x14ac:dyDescent="0.25">
      <c r="A139" t="str">
        <v>S770</v>
      </c>
      <c r="B139" s="5">
        <v>45975</v>
      </c>
      <c r="C139" t="str">
        <v>Adidas</v>
      </c>
      <c r="D139" t="str">
        <v>Boots</v>
      </c>
      <c r="E139" t="str">
        <v>Green</v>
      </c>
      <c r="F139" t="str">
        <v>UAE</v>
      </c>
      <c r="G139" t="str">
        <v>Mall</v>
      </c>
      <c r="H139">
        <v>210.68</v>
      </c>
    </row>
    <row r="140" spans="1:8" x14ac:dyDescent="0.25">
      <c r="A140" t="str">
        <v>S771</v>
      </c>
      <c r="B140" s="5">
        <v>45846</v>
      </c>
      <c r="C140" t="str">
        <v>New Balance</v>
      </c>
      <c r="D140" t="str">
        <v>Boots</v>
      </c>
      <c r="E140" t="str">
        <v>Grey</v>
      </c>
      <c r="F140" t="str">
        <v>UK</v>
      </c>
      <c r="G140" t="str">
        <v>Mall</v>
      </c>
      <c r="H140">
        <v>54.34</v>
      </c>
    </row>
    <row r="141" spans="1:8" x14ac:dyDescent="0.25">
      <c r="A141" t="str">
        <v>S775</v>
      </c>
      <c r="B141" s="5">
        <v>45660</v>
      </c>
      <c r="C141" t="str">
        <v>Reebok</v>
      </c>
      <c r="D141" t="str">
        <v>Boots</v>
      </c>
      <c r="E141" t="str">
        <v>White</v>
      </c>
      <c r="F141" t="str">
        <v>USA</v>
      </c>
      <c r="G141" t="str">
        <v>Online</v>
      </c>
      <c r="H141">
        <v>205.4</v>
      </c>
    </row>
    <row r="142" spans="1:8" x14ac:dyDescent="0.25">
      <c r="A142" t="str">
        <v>S776</v>
      </c>
      <c r="B142" s="5">
        <v>45823</v>
      </c>
      <c r="C142" t="str">
        <v>Nike</v>
      </c>
      <c r="D142" t="str">
        <v>Boots</v>
      </c>
      <c r="E142" t="str">
        <v>Grey</v>
      </c>
      <c r="F142" t="str">
        <v>Saudi Arabia</v>
      </c>
      <c r="G142" t="str">
        <v>Mall</v>
      </c>
      <c r="H142">
        <v>62.98</v>
      </c>
    </row>
    <row r="143" spans="1:8" x14ac:dyDescent="0.25">
      <c r="A143" t="str">
        <v>S787</v>
      </c>
      <c r="B143" s="5">
        <v>45933</v>
      </c>
      <c r="C143" t="str">
        <v>Nike</v>
      </c>
      <c r="D143" t="str">
        <v>Boots</v>
      </c>
      <c r="E143" t="str">
        <v>Black</v>
      </c>
      <c r="F143" t="str">
        <v>UK</v>
      </c>
      <c r="G143" t="str">
        <v>Mall</v>
      </c>
      <c r="H143">
        <v>158.35</v>
      </c>
    </row>
    <row r="144" spans="1:8" x14ac:dyDescent="0.25">
      <c r="A144" t="str">
        <v>S793</v>
      </c>
      <c r="B144" s="5">
        <v>45819</v>
      </c>
      <c r="C144" t="str">
        <v>Reebok</v>
      </c>
      <c r="D144" t="str">
        <v>Boots</v>
      </c>
      <c r="E144" t="str">
        <v>Black</v>
      </c>
      <c r="F144" t="str">
        <v>India</v>
      </c>
      <c r="G144" t="str">
        <v>Online</v>
      </c>
      <c r="H144">
        <v>141.30000000000001</v>
      </c>
    </row>
    <row r="145" spans="1:8" x14ac:dyDescent="0.25">
      <c r="A145" t="str">
        <v>S794</v>
      </c>
      <c r="B145" s="5">
        <v>45986</v>
      </c>
      <c r="C145" t="str">
        <v>Nike</v>
      </c>
      <c r="D145" t="str">
        <v>Boots</v>
      </c>
      <c r="E145" t="str">
        <v>Grey</v>
      </c>
      <c r="F145" t="str">
        <v>USA</v>
      </c>
      <c r="G145" t="str">
        <v>Mall</v>
      </c>
      <c r="H145">
        <v>164.52</v>
      </c>
    </row>
    <row r="146" spans="1:8" x14ac:dyDescent="0.25">
      <c r="A146" t="str">
        <v>S798</v>
      </c>
      <c r="B146" s="5">
        <v>45858</v>
      </c>
      <c r="C146" t="str">
        <v>Puma</v>
      </c>
      <c r="D146" t="str">
        <v>Boots</v>
      </c>
      <c r="E146" t="str">
        <v>White</v>
      </c>
      <c r="F146" t="str">
        <v>France</v>
      </c>
      <c r="G146" t="str">
        <v>Mall</v>
      </c>
      <c r="H146">
        <v>154.33000000000001</v>
      </c>
    </row>
    <row r="147" spans="1:8" x14ac:dyDescent="0.25">
      <c r="A147" t="str">
        <v>S801</v>
      </c>
      <c r="B147" s="5">
        <v>45701</v>
      </c>
      <c r="C147" t="str">
        <v>Adidas</v>
      </c>
      <c r="D147" t="str">
        <v>Boots</v>
      </c>
      <c r="E147" t="str">
        <v>Green</v>
      </c>
      <c r="F147" t="str">
        <v>UAE</v>
      </c>
      <c r="G147" t="str">
        <v>Retail Store</v>
      </c>
      <c r="H147">
        <v>185.59</v>
      </c>
    </row>
    <row r="148" spans="1:8" x14ac:dyDescent="0.25">
      <c r="A148" t="str">
        <v>S808</v>
      </c>
      <c r="B148" s="5">
        <v>45888</v>
      </c>
      <c r="C148" t="str">
        <v>New Balance</v>
      </c>
      <c r="D148" t="str">
        <v>Boots</v>
      </c>
      <c r="E148" t="str">
        <v>Blue</v>
      </c>
      <c r="F148" t="str">
        <v>UAE</v>
      </c>
      <c r="G148" t="str">
        <v>Mall</v>
      </c>
      <c r="H148">
        <v>233.63</v>
      </c>
    </row>
    <row r="149" spans="1:8" x14ac:dyDescent="0.25">
      <c r="A149" t="str">
        <v>S815</v>
      </c>
      <c r="B149" s="5">
        <v>45696</v>
      </c>
      <c r="C149" t="str">
        <v>New Balance</v>
      </c>
      <c r="D149" t="str">
        <v>Boots</v>
      </c>
      <c r="E149" t="str">
        <v>Black</v>
      </c>
      <c r="F149" t="str">
        <v>Saudi Arabia</v>
      </c>
      <c r="G149" t="str">
        <v>Mall</v>
      </c>
      <c r="H149">
        <v>221.38</v>
      </c>
    </row>
    <row r="150" spans="1:8" x14ac:dyDescent="0.25">
      <c r="A150" t="str">
        <v>S817</v>
      </c>
      <c r="B150" s="5">
        <v>45936</v>
      </c>
      <c r="C150" t="str">
        <v>Reebok</v>
      </c>
      <c r="D150" t="str">
        <v>Boots</v>
      </c>
      <c r="E150" t="str">
        <v>White</v>
      </c>
      <c r="F150" t="str">
        <v>France</v>
      </c>
      <c r="G150" t="str">
        <v>Retail Store</v>
      </c>
      <c r="H150">
        <v>160.08000000000001</v>
      </c>
    </row>
    <row r="151" spans="1:8" x14ac:dyDescent="0.25">
      <c r="A151" t="str">
        <v>S827</v>
      </c>
      <c r="B151" s="5">
        <v>45851</v>
      </c>
      <c r="C151" t="str">
        <v>New Balance</v>
      </c>
      <c r="D151" t="str">
        <v>Boots</v>
      </c>
      <c r="E151" t="str">
        <v>Black</v>
      </c>
      <c r="F151" t="str">
        <v>India</v>
      </c>
      <c r="G151" t="str">
        <v>Retail Store</v>
      </c>
      <c r="H151">
        <v>106.2</v>
      </c>
    </row>
    <row r="152" spans="1:8" x14ac:dyDescent="0.25">
      <c r="A152" t="str">
        <v>S837</v>
      </c>
      <c r="B152" s="5">
        <v>45946</v>
      </c>
      <c r="C152" t="str">
        <v>Skechers</v>
      </c>
      <c r="D152" t="str">
        <v>Boots</v>
      </c>
      <c r="E152" t="str">
        <v>Green</v>
      </c>
      <c r="F152" t="str">
        <v>Saudi Arabia</v>
      </c>
      <c r="G152" t="str">
        <v>Retail Store</v>
      </c>
      <c r="H152">
        <v>231.27</v>
      </c>
    </row>
    <row r="153" spans="1:8" x14ac:dyDescent="0.25">
      <c r="A153" t="str">
        <v>S848</v>
      </c>
      <c r="B153" s="5">
        <v>45837</v>
      </c>
      <c r="C153" t="str">
        <v>Skechers</v>
      </c>
      <c r="D153" t="str">
        <v>Boots</v>
      </c>
      <c r="E153" t="str">
        <v>Grey</v>
      </c>
      <c r="F153" t="str">
        <v>USA</v>
      </c>
      <c r="G153" t="str">
        <v>Retail Store</v>
      </c>
      <c r="H153">
        <v>249.31</v>
      </c>
    </row>
    <row r="154" spans="1:8" x14ac:dyDescent="0.25">
      <c r="A154" t="str">
        <v>S860</v>
      </c>
      <c r="B154" s="5">
        <v>45684</v>
      </c>
      <c r="C154" t="str">
        <v>Reebok</v>
      </c>
      <c r="D154" t="str">
        <v>Boots</v>
      </c>
      <c r="E154" t="str">
        <v>Black</v>
      </c>
      <c r="F154" t="str">
        <v>Saudi Arabia</v>
      </c>
      <c r="G154" t="str">
        <v>Online</v>
      </c>
      <c r="H154">
        <v>44.46</v>
      </c>
    </row>
    <row r="155" spans="1:8" x14ac:dyDescent="0.25">
      <c r="A155" t="str">
        <v>S867</v>
      </c>
      <c r="B155" s="5">
        <v>45676</v>
      </c>
      <c r="C155" t="str">
        <v>Adidas</v>
      </c>
      <c r="D155" t="str">
        <v>Boots</v>
      </c>
      <c r="E155" t="str">
        <v>Black</v>
      </c>
      <c r="F155" t="str">
        <v>UK</v>
      </c>
      <c r="G155" t="str">
        <v>Online</v>
      </c>
      <c r="H155">
        <v>64.150000000000006</v>
      </c>
    </row>
    <row r="156" spans="1:8" x14ac:dyDescent="0.25">
      <c r="A156" t="str">
        <v>S868</v>
      </c>
      <c r="B156" s="5">
        <v>45799</v>
      </c>
      <c r="C156" t="str">
        <v>Puma</v>
      </c>
      <c r="D156" t="str">
        <v>Boots</v>
      </c>
      <c r="E156" t="str">
        <v>Red</v>
      </c>
      <c r="F156" t="str">
        <v>Germany</v>
      </c>
      <c r="G156" t="str">
        <v>Mall</v>
      </c>
      <c r="H156">
        <v>70.02</v>
      </c>
    </row>
    <row r="157" spans="1:8" x14ac:dyDescent="0.25">
      <c r="A157" t="str">
        <v>S869</v>
      </c>
      <c r="B157" s="5">
        <v>45760</v>
      </c>
      <c r="C157" t="str">
        <v>Nike</v>
      </c>
      <c r="D157" t="str">
        <v>Boots</v>
      </c>
      <c r="E157" t="str">
        <v>Green</v>
      </c>
      <c r="F157" t="str">
        <v>USA</v>
      </c>
      <c r="G157" t="str">
        <v>Online</v>
      </c>
      <c r="H157">
        <v>219.59</v>
      </c>
    </row>
    <row r="158" spans="1:8" x14ac:dyDescent="0.25">
      <c r="A158" t="str">
        <v>S877</v>
      </c>
      <c r="B158" s="5">
        <v>45982</v>
      </c>
      <c r="C158" t="str">
        <v>Skechers</v>
      </c>
      <c r="D158" t="str">
        <v>Boots</v>
      </c>
      <c r="E158" t="str">
        <v>White</v>
      </c>
      <c r="F158" t="str">
        <v>Saudi Arabia</v>
      </c>
      <c r="G158" t="str">
        <v>Retail Store</v>
      </c>
      <c r="H158">
        <v>187.51</v>
      </c>
    </row>
    <row r="159" spans="1:8" x14ac:dyDescent="0.25">
      <c r="A159" t="str">
        <v>S881</v>
      </c>
      <c r="B159" s="5">
        <v>45951</v>
      </c>
      <c r="C159" t="str">
        <v>Adidas</v>
      </c>
      <c r="D159" t="str">
        <v>Boots</v>
      </c>
      <c r="E159" t="str">
        <v>Green</v>
      </c>
      <c r="F159" t="str">
        <v>UK</v>
      </c>
      <c r="G159" t="str">
        <v>Retail Store</v>
      </c>
      <c r="H159">
        <v>80.84</v>
      </c>
    </row>
    <row r="160" spans="1:8" x14ac:dyDescent="0.25">
      <c r="A160" t="str">
        <v>S884</v>
      </c>
      <c r="B160" s="5">
        <v>45719</v>
      </c>
      <c r="C160" t="str">
        <v>Skechers</v>
      </c>
      <c r="D160" t="str">
        <v>Boots</v>
      </c>
      <c r="E160" t="str">
        <v>Red</v>
      </c>
      <c r="F160" t="str">
        <v>India</v>
      </c>
      <c r="G160" t="str">
        <v>Online</v>
      </c>
      <c r="H160">
        <v>52.9</v>
      </c>
    </row>
    <row r="161" spans="1:8" x14ac:dyDescent="0.25">
      <c r="A161" t="str">
        <v>S889</v>
      </c>
      <c r="B161" s="5">
        <v>45747</v>
      </c>
      <c r="C161" t="str">
        <v>Nike</v>
      </c>
      <c r="D161" t="str">
        <v>Boots</v>
      </c>
      <c r="E161" t="str">
        <v>Grey</v>
      </c>
      <c r="F161" t="str">
        <v>Germany</v>
      </c>
      <c r="G161" t="str">
        <v>Retail Store</v>
      </c>
      <c r="H161">
        <v>51.88</v>
      </c>
    </row>
    <row r="162" spans="1:8" x14ac:dyDescent="0.25">
      <c r="A162" t="str">
        <v>S890</v>
      </c>
      <c r="B162" s="5">
        <v>46010</v>
      </c>
      <c r="C162" t="str">
        <v>Nike</v>
      </c>
      <c r="D162" t="str">
        <v>Boots</v>
      </c>
      <c r="E162" t="str">
        <v>White</v>
      </c>
      <c r="F162" t="str">
        <v>Germany</v>
      </c>
      <c r="G162" t="str">
        <v>Mall</v>
      </c>
      <c r="H162">
        <v>83.5</v>
      </c>
    </row>
    <row r="163" spans="1:8" x14ac:dyDescent="0.25">
      <c r="A163" t="str">
        <v>S895</v>
      </c>
      <c r="B163" s="5">
        <v>45952</v>
      </c>
      <c r="C163" t="str">
        <v>Nike</v>
      </c>
      <c r="D163" t="str">
        <v>Boots</v>
      </c>
      <c r="E163" t="str">
        <v>Blue</v>
      </c>
      <c r="F163" t="str">
        <v>Saudi Arabia</v>
      </c>
      <c r="G163" t="str">
        <v>Online</v>
      </c>
      <c r="H163">
        <v>176.98</v>
      </c>
    </row>
    <row r="164" spans="1:8" x14ac:dyDescent="0.25">
      <c r="A164" t="str">
        <v>S898</v>
      </c>
      <c r="B164" s="5">
        <v>45980</v>
      </c>
      <c r="C164" t="str">
        <v>New Balance</v>
      </c>
      <c r="D164" t="str">
        <v>Boots</v>
      </c>
      <c r="E164" t="str">
        <v>Blue</v>
      </c>
      <c r="F164" t="str">
        <v>Saudi Arabia</v>
      </c>
      <c r="G164" t="str">
        <v>Retail Store</v>
      </c>
      <c r="H164">
        <v>227.19</v>
      </c>
    </row>
    <row r="165" spans="1:8" x14ac:dyDescent="0.25">
      <c r="A165" t="str">
        <v>S906</v>
      </c>
      <c r="B165" s="5">
        <v>45981</v>
      </c>
      <c r="C165" t="str">
        <v>Adidas</v>
      </c>
      <c r="D165" t="str">
        <v>Boots</v>
      </c>
      <c r="E165" t="str">
        <v>Blue</v>
      </c>
      <c r="F165" t="str">
        <v>Germany</v>
      </c>
      <c r="G165" t="str">
        <v>Mall</v>
      </c>
      <c r="H165">
        <v>226.39</v>
      </c>
    </row>
    <row r="166" spans="1:8" x14ac:dyDescent="0.25">
      <c r="A166" t="str">
        <v>S908</v>
      </c>
      <c r="B166" s="5">
        <v>45774</v>
      </c>
      <c r="C166" t="str">
        <v>Puma</v>
      </c>
      <c r="D166" t="str">
        <v>Boots</v>
      </c>
      <c r="E166" t="str">
        <v>Blue</v>
      </c>
      <c r="F166" t="str">
        <v>UAE</v>
      </c>
      <c r="G166" t="str">
        <v>Retail Store</v>
      </c>
      <c r="H166">
        <v>105.2</v>
      </c>
    </row>
    <row r="167" spans="1:8" x14ac:dyDescent="0.25">
      <c r="A167" t="str">
        <v>S915</v>
      </c>
      <c r="B167" s="5">
        <v>45816</v>
      </c>
      <c r="C167" t="str">
        <v>Adidas</v>
      </c>
      <c r="D167" t="str">
        <v>Boots</v>
      </c>
      <c r="E167" t="str">
        <v>Blue</v>
      </c>
      <c r="F167" t="str">
        <v>Germany</v>
      </c>
      <c r="G167" t="str">
        <v>Mall</v>
      </c>
      <c r="H167">
        <v>151.44999999999999</v>
      </c>
    </row>
    <row r="168" spans="1:8" x14ac:dyDescent="0.25">
      <c r="A168" t="str">
        <v>S932</v>
      </c>
      <c r="B168" s="5">
        <v>45802</v>
      </c>
      <c r="C168" t="str">
        <v>Adidas</v>
      </c>
      <c r="D168" t="str">
        <v>Boots</v>
      </c>
      <c r="E168" t="str">
        <v>Red</v>
      </c>
      <c r="F168" t="str">
        <v>UAE</v>
      </c>
      <c r="G168" t="str">
        <v>Online</v>
      </c>
      <c r="H168">
        <v>213.68</v>
      </c>
    </row>
    <row r="169" spans="1:8" x14ac:dyDescent="0.25">
      <c r="A169" t="str">
        <v>S937</v>
      </c>
      <c r="B169" s="5">
        <v>45853</v>
      </c>
      <c r="C169" t="str">
        <v>Nike</v>
      </c>
      <c r="D169" t="str">
        <v>Boots</v>
      </c>
      <c r="E169" t="str">
        <v>White</v>
      </c>
      <c r="F169" t="str">
        <v>Germany</v>
      </c>
      <c r="G169" t="str">
        <v>Retail Store</v>
      </c>
      <c r="H169">
        <v>34.049999999999997</v>
      </c>
    </row>
    <row r="170" spans="1:8" x14ac:dyDescent="0.25">
      <c r="A170" t="str">
        <v>S942</v>
      </c>
      <c r="B170" s="5">
        <v>45769</v>
      </c>
      <c r="C170" t="str">
        <v>Adidas</v>
      </c>
      <c r="D170" t="str">
        <v>Boots</v>
      </c>
      <c r="E170" t="str">
        <v>Red</v>
      </c>
      <c r="F170" t="str">
        <v>France</v>
      </c>
      <c r="G170" t="str">
        <v>Online</v>
      </c>
      <c r="H170">
        <v>151.91999999999999</v>
      </c>
    </row>
    <row r="171" spans="1:8" x14ac:dyDescent="0.25">
      <c r="A171" t="str">
        <v>S944</v>
      </c>
      <c r="B171">
        <v>45662</v>
      </c>
      <c r="C171" t="str">
        <v>New Balance</v>
      </c>
      <c r="D171" t="str">
        <v>Boots</v>
      </c>
      <c r="E171" t="str">
        <v>Red</v>
      </c>
      <c r="F171" t="str">
        <v>UAE</v>
      </c>
      <c r="G171" t="str">
        <v>Mall</v>
      </c>
      <c r="H171">
        <v>212.54</v>
      </c>
    </row>
    <row r="172" spans="1:8" x14ac:dyDescent="0.25">
      <c r="A172" t="str">
        <v>S946</v>
      </c>
      <c r="B172">
        <v>46009</v>
      </c>
      <c r="C172" t="str">
        <v>Puma</v>
      </c>
      <c r="D172" t="str">
        <v>Boots</v>
      </c>
      <c r="E172" t="str">
        <v>Black</v>
      </c>
      <c r="F172" t="str">
        <v>USA</v>
      </c>
      <c r="G172" t="str">
        <v>Retail Store</v>
      </c>
      <c r="H172">
        <v>32.42</v>
      </c>
    </row>
    <row r="173" spans="1:8" x14ac:dyDescent="0.25">
      <c r="A173" t="str">
        <v>S948</v>
      </c>
      <c r="B173">
        <v>45777</v>
      </c>
      <c r="C173" t="str">
        <v>New Balance</v>
      </c>
      <c r="D173" t="str">
        <v>Boots</v>
      </c>
      <c r="E173" t="str">
        <v>Blue</v>
      </c>
      <c r="F173" t="str">
        <v>Saudi Arabia</v>
      </c>
      <c r="G173" t="str">
        <v>Retail Store</v>
      </c>
      <c r="H173">
        <v>228</v>
      </c>
    </row>
    <row r="174" spans="1:8" x14ac:dyDescent="0.25">
      <c r="A174" t="str">
        <v>S950</v>
      </c>
      <c r="B174">
        <v>45786</v>
      </c>
      <c r="C174" t="str">
        <v>Reebok</v>
      </c>
      <c r="D174" t="str">
        <v>Boots</v>
      </c>
      <c r="E174" t="str">
        <v>Red</v>
      </c>
      <c r="F174" t="str">
        <v>India</v>
      </c>
      <c r="G174" t="str">
        <v>Retail Store</v>
      </c>
      <c r="H174">
        <v>161.43</v>
      </c>
    </row>
    <row r="175" spans="1:8" x14ac:dyDescent="0.25">
      <c r="A175" t="str">
        <v>S960</v>
      </c>
      <c r="B175">
        <v>45708</v>
      </c>
      <c r="C175" t="str">
        <v>New Balance</v>
      </c>
      <c r="D175" t="str">
        <v>Boots</v>
      </c>
      <c r="E175" t="str">
        <v>Red</v>
      </c>
      <c r="F175" t="str">
        <v>UAE</v>
      </c>
      <c r="G175" t="str">
        <v>Retail Store</v>
      </c>
      <c r="H175">
        <v>192.37</v>
      </c>
    </row>
    <row r="176" spans="1:8" x14ac:dyDescent="0.25">
      <c r="A176" t="str">
        <v>S963</v>
      </c>
      <c r="B176">
        <v>45909</v>
      </c>
      <c r="C176" t="str">
        <v>Reebok</v>
      </c>
      <c r="D176" t="str">
        <v>Boots</v>
      </c>
      <c r="E176" t="str">
        <v>Black</v>
      </c>
      <c r="F176" t="str">
        <v>France</v>
      </c>
      <c r="G176" t="str">
        <v>Mall</v>
      </c>
      <c r="H176">
        <v>83.98</v>
      </c>
    </row>
    <row r="177" spans="1:8" x14ac:dyDescent="0.25">
      <c r="A177" t="str">
        <v>S967</v>
      </c>
      <c r="B177">
        <v>45994</v>
      </c>
      <c r="C177" t="str">
        <v>New Balance</v>
      </c>
      <c r="D177" t="str">
        <v>Boots</v>
      </c>
      <c r="E177" t="str">
        <v>White</v>
      </c>
      <c r="F177" t="str">
        <v>India</v>
      </c>
      <c r="G177" t="str">
        <v>Mall</v>
      </c>
      <c r="H177">
        <v>188.19</v>
      </c>
    </row>
    <row r="178" spans="1:8" x14ac:dyDescent="0.25">
      <c r="A178" t="str">
        <v>S969</v>
      </c>
      <c r="B178">
        <v>46003</v>
      </c>
      <c r="C178" t="str">
        <v>Skechers</v>
      </c>
      <c r="D178" t="str">
        <v>Boots</v>
      </c>
      <c r="E178" t="str">
        <v>Red</v>
      </c>
      <c r="F178" t="str">
        <v>USA</v>
      </c>
      <c r="G178" t="str">
        <v>Online</v>
      </c>
      <c r="H178">
        <v>154.61000000000001</v>
      </c>
    </row>
    <row r="179" spans="1:8" x14ac:dyDescent="0.25">
      <c r="A179" t="str">
        <v>S984</v>
      </c>
      <c r="B179">
        <v>45871</v>
      </c>
      <c r="C179" t="str">
        <v>Adidas</v>
      </c>
      <c r="D179" t="str">
        <v>Boots</v>
      </c>
      <c r="E179" t="str">
        <v>Green</v>
      </c>
      <c r="F179" t="str">
        <v>Saudi Arabia</v>
      </c>
      <c r="G179" t="str">
        <v>Mall</v>
      </c>
      <c r="H179">
        <v>46.53</v>
      </c>
    </row>
    <row r="180" spans="1:8" x14ac:dyDescent="0.25">
      <c r="A180" t="str">
        <v>S987</v>
      </c>
      <c r="B180">
        <v>45736</v>
      </c>
      <c r="C180" t="str">
        <v>Skechers</v>
      </c>
      <c r="D180" t="str">
        <v>Boots</v>
      </c>
      <c r="E180" t="str">
        <v>Red</v>
      </c>
      <c r="F180" t="str">
        <v>Germany</v>
      </c>
      <c r="G180" t="str">
        <v>Mall</v>
      </c>
      <c r="H180">
        <v>181.45</v>
      </c>
    </row>
    <row r="181" spans="1:8" x14ac:dyDescent="0.25">
      <c r="A181" t="str">
        <v>S994</v>
      </c>
      <c r="B181">
        <v>45952</v>
      </c>
      <c r="C181" t="str">
        <v>Nike</v>
      </c>
      <c r="D181" t="str">
        <v>Boots</v>
      </c>
      <c r="E181" t="str">
        <v>Red</v>
      </c>
      <c r="F181" t="str">
        <v>Germany</v>
      </c>
      <c r="G181" t="str">
        <v>Retail Store</v>
      </c>
      <c r="H181">
        <v>159.85</v>
      </c>
    </row>
    <row r="182" spans="1:8" x14ac:dyDescent="0.25">
      <c r="A182" t="str">
        <v>S999</v>
      </c>
      <c r="B182">
        <v>45805</v>
      </c>
      <c r="C182" t="str">
        <v>Puma</v>
      </c>
      <c r="D182" t="str">
        <v>Boots</v>
      </c>
      <c r="E182" t="str">
        <v>Black</v>
      </c>
      <c r="F182" t="str">
        <v>France</v>
      </c>
      <c r="G182" t="str">
        <v>Retail Store</v>
      </c>
      <c r="H182">
        <v>239.05</v>
      </c>
    </row>
  </sheetData>
  <dataValidations count="1">
    <dataValidation type="list" allowBlank="1" showInputMessage="1" showErrorMessage="1" sqref="A3" xr:uid="{8D33824C-FD51-4044-BC78-90AC80E4D20B}">
      <formula1>$AB$4:$AB$9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351F-0BAA-4763-81E4-412D5EF7748B}">
  <dimension ref="C7:J18"/>
  <sheetViews>
    <sheetView workbookViewId="0">
      <selection activeCell="N18" sqref="N18"/>
    </sheetView>
  </sheetViews>
  <sheetFormatPr defaultRowHeight="13.2" x14ac:dyDescent="0.25"/>
  <cols>
    <col min="1" max="1" width="6.33203125" bestFit="1" customWidth="1"/>
    <col min="2" max="2" width="10.6640625" bestFit="1" customWidth="1"/>
    <col min="3" max="3" width="8.21875" customWidth="1"/>
    <col min="4" max="4" width="11.5546875" bestFit="1" customWidth="1"/>
    <col min="5" max="5" width="11.33203125" customWidth="1"/>
    <col min="6" max="6" width="9.33203125" customWidth="1"/>
    <col min="7" max="7" width="11.5546875" bestFit="1" customWidth="1"/>
    <col min="8" max="8" width="13.88671875" bestFit="1" customWidth="1"/>
    <col min="9" max="9" width="10.33203125" bestFit="1" customWidth="1"/>
    <col min="10" max="10" width="13.5546875" bestFit="1" customWidth="1"/>
    <col min="11" max="11" width="9" customWidth="1"/>
    <col min="12" max="12" width="7.5546875" bestFit="1" customWidth="1"/>
    <col min="13" max="13" width="8.77734375" bestFit="1" customWidth="1"/>
    <col min="14" max="14" width="9.21875" customWidth="1"/>
  </cols>
  <sheetData>
    <row r="7" spans="3:10" x14ac:dyDescent="0.25">
      <c r="C7" s="3"/>
      <c r="D7" s="3" t="s">
        <v>2</v>
      </c>
      <c r="E7" s="3" t="s">
        <v>3</v>
      </c>
      <c r="F7" s="3" t="s">
        <v>4</v>
      </c>
      <c r="G7" s="3" t="s">
        <v>5</v>
      </c>
      <c r="H7" s="3" t="s">
        <v>6</v>
      </c>
      <c r="I7" s="3" t="s">
        <v>7</v>
      </c>
      <c r="J7" s="3" t="s">
        <v>9</v>
      </c>
    </row>
    <row r="8" spans="3:10" x14ac:dyDescent="0.25">
      <c r="C8">
        <v>1</v>
      </c>
      <c r="D8" t="str">
        <f>INDEX(shoes_sales_dataset!C2:C1001,MATCH(J8,shoes_sales_dataset!J2:J1001,0))</f>
        <v>Skechers</v>
      </c>
      <c r="E8" t="str">
        <f>INDEX(shoes_sales_dataset!D2:D1001,MATCH(J8,shoes_sales_dataset!J2:J1001,0))</f>
        <v>Boots</v>
      </c>
      <c r="F8" t="str">
        <f>INDEX(shoes_sales_dataset!E2:E1001,MATCH(J8,shoes_sales_dataset!J2:J1001,0))</f>
        <v>Grey</v>
      </c>
      <c r="G8" t="str">
        <f>INDEX(shoes_sales_dataset!F2:F1001,MATCH(J8,shoes_sales_dataset!J2:J1001,0))</f>
        <v>Germany</v>
      </c>
      <c r="H8" t="str">
        <f>INDEX(shoes_sales_dataset!G2:G1001,MATCH(J8,shoes_sales_dataset!J2:J1001,0))</f>
        <v>Mall</v>
      </c>
      <c r="I8">
        <f>INDEX(shoes_sales_dataset!H2:H1001,MATCH(J8,shoes_sales_dataset!J2:J1001,0))</f>
        <v>246.92</v>
      </c>
      <c r="J8">
        <f>LARGE(shoes_sales_dataset!J2:J1001,C8)</f>
        <v>4938.3999999999996</v>
      </c>
    </row>
    <row r="9" spans="3:10" x14ac:dyDescent="0.25">
      <c r="C9">
        <v>2</v>
      </c>
      <c r="D9" t="str">
        <f>INDEX(shoes_sales_dataset!C3:C1002,MATCH(J9,shoes_sales_dataset!J3:J1002,0))</f>
        <v>Skechers</v>
      </c>
      <c r="E9" t="str">
        <f>INDEX(shoes_sales_dataset!D3:D1002,MATCH(J9,shoes_sales_dataset!J3:J1002,0))</f>
        <v>Boots</v>
      </c>
      <c r="F9" t="str">
        <f>INDEX(shoes_sales_dataset!E3:E1002,MATCH(J9,shoes_sales_dataset!J3:J1002,0))</f>
        <v>Grey</v>
      </c>
      <c r="G9" t="str">
        <f>INDEX(shoes_sales_dataset!F3:F1002,MATCH(J9,shoes_sales_dataset!J3:J1002,0))</f>
        <v>Germany</v>
      </c>
      <c r="H9" t="str">
        <f>INDEX(shoes_sales_dataset!G3:G1002,MATCH(J9,shoes_sales_dataset!J3:J1002,0))</f>
        <v>Mall</v>
      </c>
      <c r="I9">
        <f>INDEX(shoes_sales_dataset!H3:H1002,MATCH(J9,shoes_sales_dataset!J3:J1002,0))</f>
        <v>246.92</v>
      </c>
      <c r="J9">
        <f>LARGE(shoes_sales_dataset!J3:J1002,C9)</f>
        <v>4938.3999999999996</v>
      </c>
    </row>
    <row r="10" spans="3:10" x14ac:dyDescent="0.25">
      <c r="C10">
        <v>3</v>
      </c>
      <c r="D10" t="str">
        <f>INDEX(shoes_sales_dataset!C4:C1003,MATCH(J10,shoes_sales_dataset!J4:J1003,0))</f>
        <v>New Balance</v>
      </c>
      <c r="E10" t="str">
        <f>INDEX(shoes_sales_dataset!D4:D1003,MATCH(J10,shoes_sales_dataset!J4:J1003,0))</f>
        <v>Casual</v>
      </c>
      <c r="F10" t="str">
        <f>INDEX(shoes_sales_dataset!E4:E1003,MATCH(J10,shoes_sales_dataset!J4:J1003,0))</f>
        <v>Grey</v>
      </c>
      <c r="G10" t="str">
        <f>INDEX(shoes_sales_dataset!F4:F1003,MATCH(J10,shoes_sales_dataset!J4:J1003,0))</f>
        <v>Germany</v>
      </c>
      <c r="H10" t="str">
        <f>INDEX(shoes_sales_dataset!G4:G1003,MATCH(J10,shoes_sales_dataset!J4:J1003,0))</f>
        <v>Retail Store</v>
      </c>
      <c r="I10">
        <f>INDEX(shoes_sales_dataset!H4:H1003,MATCH(J10,shoes_sales_dataset!J4:J1003,0))</f>
        <v>241.74</v>
      </c>
      <c r="J10">
        <f>LARGE(shoes_sales_dataset!J4:J1003,C10)</f>
        <v>4834.8</v>
      </c>
    </row>
    <row r="11" spans="3:10" x14ac:dyDescent="0.25">
      <c r="C11">
        <v>4</v>
      </c>
      <c r="D11" t="str">
        <f>INDEX(shoes_sales_dataset!C5:C1004,MATCH(J11,shoes_sales_dataset!J5:J1004,0))</f>
        <v>Nike</v>
      </c>
      <c r="E11" t="str">
        <f>INDEX(shoes_sales_dataset!D5:D1004,MATCH(J11,shoes_sales_dataset!J5:J1004,0))</f>
        <v>Sneakers</v>
      </c>
      <c r="F11" t="str">
        <f>INDEX(shoes_sales_dataset!E5:E1004,MATCH(J11,shoes_sales_dataset!J5:J1004,0))</f>
        <v>Grey</v>
      </c>
      <c r="G11" t="str">
        <f>INDEX(shoes_sales_dataset!F5:F1004,MATCH(J11,shoes_sales_dataset!J5:J1004,0))</f>
        <v>Saudi Arabia</v>
      </c>
      <c r="H11" t="str">
        <f>INDEX(shoes_sales_dataset!G5:G1004,MATCH(J11,shoes_sales_dataset!J5:J1004,0))</f>
        <v>Online</v>
      </c>
      <c r="I11">
        <f>INDEX(shoes_sales_dataset!H5:H1004,MATCH(J11,shoes_sales_dataset!J5:J1004,0))</f>
        <v>241.44</v>
      </c>
      <c r="J11">
        <f>LARGE(shoes_sales_dataset!J5:J1004,C11)</f>
        <v>4828.8</v>
      </c>
    </row>
    <row r="12" spans="3:10" x14ac:dyDescent="0.25">
      <c r="C12">
        <v>5</v>
      </c>
      <c r="D12" t="str">
        <f>INDEX(shoes_sales_dataset!C6:C1005,MATCH(J12,shoes_sales_dataset!J6:J1005,0))</f>
        <v>Skechers</v>
      </c>
      <c r="E12" t="str">
        <f>INDEX(shoes_sales_dataset!D6:D1005,MATCH(J12,shoes_sales_dataset!J6:J1005,0))</f>
        <v>Boots</v>
      </c>
      <c r="F12" t="str">
        <f>INDEX(shoes_sales_dataset!E6:E1005,MATCH(J12,shoes_sales_dataset!J6:J1005,0))</f>
        <v>Grey</v>
      </c>
      <c r="G12" t="str">
        <f>INDEX(shoes_sales_dataset!F6:F1005,MATCH(J12,shoes_sales_dataset!J6:J1005,0))</f>
        <v>USA</v>
      </c>
      <c r="H12" t="str">
        <f>INDEX(shoes_sales_dataset!G6:G1005,MATCH(J12,shoes_sales_dataset!J6:J1005,0))</f>
        <v>Retail Store</v>
      </c>
      <c r="I12">
        <f>INDEX(shoes_sales_dataset!H6:H1005,MATCH(J12,shoes_sales_dataset!J6:J1005,0))</f>
        <v>249.31</v>
      </c>
      <c r="J12">
        <f>LARGE(shoes_sales_dataset!J6:J1005,C12)</f>
        <v>4736.8900000000003</v>
      </c>
    </row>
    <row r="13" spans="3:10" x14ac:dyDescent="0.25">
      <c r="C13">
        <v>6</v>
      </c>
      <c r="D13" t="str">
        <f>INDEX(shoes_sales_dataset!C7:C1006,MATCH(J13,shoes_sales_dataset!J7:J1006,0))</f>
        <v>Skechers</v>
      </c>
      <c r="E13" t="str">
        <f>INDEX(shoes_sales_dataset!D7:D1006,MATCH(J13,shoes_sales_dataset!J7:J1006,0))</f>
        <v>Formal</v>
      </c>
      <c r="F13" t="str">
        <f>INDEX(shoes_sales_dataset!E7:E1006,MATCH(J13,shoes_sales_dataset!J7:J1006,0))</f>
        <v>Blue</v>
      </c>
      <c r="G13" t="str">
        <f>INDEX(shoes_sales_dataset!F7:F1006,MATCH(J13,shoes_sales_dataset!J7:J1006,0))</f>
        <v>Saudi Arabia</v>
      </c>
      <c r="H13" t="str">
        <f>INDEX(shoes_sales_dataset!G7:G1006,MATCH(J13,shoes_sales_dataset!J7:J1006,0))</f>
        <v>Online</v>
      </c>
      <c r="I13">
        <f>INDEX(shoes_sales_dataset!H7:H1006,MATCH(J13,shoes_sales_dataset!J7:J1006,0))</f>
        <v>227.39</v>
      </c>
      <c r="J13">
        <f>LARGE(shoes_sales_dataset!J7:J1006,C13)</f>
        <v>4547.8</v>
      </c>
    </row>
    <row r="14" spans="3:10" x14ac:dyDescent="0.25">
      <c r="C14">
        <v>7</v>
      </c>
      <c r="D14" t="str">
        <f>INDEX(shoes_sales_dataset!C8:C1007,MATCH(J14,shoes_sales_dataset!J8:J1007,0))</f>
        <v>Adidas</v>
      </c>
      <c r="E14" t="str">
        <f>INDEX(shoes_sales_dataset!D8:D1007,MATCH(J14,shoes_sales_dataset!J8:J1007,0))</f>
        <v>Boots</v>
      </c>
      <c r="F14" t="str">
        <f>INDEX(shoes_sales_dataset!E8:E1007,MATCH(J14,shoes_sales_dataset!J8:J1007,0))</f>
        <v>Red</v>
      </c>
      <c r="G14" t="str">
        <f>INDEX(shoes_sales_dataset!F8:F1007,MATCH(J14,shoes_sales_dataset!J8:J1007,0))</f>
        <v>USA</v>
      </c>
      <c r="H14" t="str">
        <f>INDEX(shoes_sales_dataset!G8:G1007,MATCH(J14,shoes_sales_dataset!J8:J1007,0))</f>
        <v>Retail Store</v>
      </c>
      <c r="I14">
        <f>INDEX(shoes_sales_dataset!H8:H1007,MATCH(J14,shoes_sales_dataset!J8:J1007,0))</f>
        <v>225.8</v>
      </c>
      <c r="J14">
        <f>LARGE(shoes_sales_dataset!J8:J1007,C14)</f>
        <v>4516</v>
      </c>
    </row>
    <row r="15" spans="3:10" x14ac:dyDescent="0.25">
      <c r="C15">
        <v>8</v>
      </c>
      <c r="D15" t="str">
        <f>INDEX(shoes_sales_dataset!C9:C1008,MATCH(J15,shoes_sales_dataset!J9:J1008,0))</f>
        <v>Nike</v>
      </c>
      <c r="E15" t="str">
        <f>INDEX(shoes_sales_dataset!D9:D1008,MATCH(J15,shoes_sales_dataset!J9:J1008,0))</f>
        <v>Sports</v>
      </c>
      <c r="F15" t="str">
        <f>INDEX(shoes_sales_dataset!E9:E1008,MATCH(J15,shoes_sales_dataset!J9:J1008,0))</f>
        <v>Red</v>
      </c>
      <c r="G15" t="str">
        <f>INDEX(shoes_sales_dataset!F9:F1008,MATCH(J15,shoes_sales_dataset!J9:J1008,0))</f>
        <v>Germany</v>
      </c>
      <c r="H15" t="str">
        <f>INDEX(shoes_sales_dataset!G9:G1008,MATCH(J15,shoes_sales_dataset!J9:J1008,0))</f>
        <v>Retail Store</v>
      </c>
      <c r="I15">
        <f>INDEX(shoes_sales_dataset!H9:H1008,MATCH(J15,shoes_sales_dataset!J9:J1008,0))</f>
        <v>221.87</v>
      </c>
      <c r="J15">
        <f>LARGE(shoes_sales_dataset!J9:J1008,C15)</f>
        <v>4437.3999999999996</v>
      </c>
    </row>
    <row r="16" spans="3:10" x14ac:dyDescent="0.25">
      <c r="C16">
        <v>9</v>
      </c>
      <c r="D16" t="str">
        <f>INDEX(shoes_sales_dataset!C10:C1009,MATCH(J16,shoes_sales_dataset!J10:J1009,0))</f>
        <v>New Balance</v>
      </c>
      <c r="E16" t="str">
        <f>INDEX(shoes_sales_dataset!D10:D1009,MATCH(J16,shoes_sales_dataset!J10:J1009,0))</f>
        <v>Sneakers</v>
      </c>
      <c r="F16" t="str">
        <f>INDEX(shoes_sales_dataset!E10:E1009,MATCH(J16,shoes_sales_dataset!J10:J1009,0))</f>
        <v>White</v>
      </c>
      <c r="G16" t="str">
        <f>INDEX(shoes_sales_dataset!F10:F1009,MATCH(J16,shoes_sales_dataset!J10:J1009,0))</f>
        <v>Germany</v>
      </c>
      <c r="H16" t="str">
        <f>INDEX(shoes_sales_dataset!G10:G1009,MATCH(J16,shoes_sales_dataset!J10:J1009,0))</f>
        <v>Mall</v>
      </c>
      <c r="I16">
        <f>INDEX(shoes_sales_dataset!H10:H1009,MATCH(J16,shoes_sales_dataset!J10:J1009,0))</f>
        <v>232.37</v>
      </c>
      <c r="J16">
        <f>LARGE(shoes_sales_dataset!J10:J1009,C16)</f>
        <v>4415.03</v>
      </c>
    </row>
    <row r="17" spans="3:10" x14ac:dyDescent="0.25">
      <c r="C17">
        <v>10</v>
      </c>
      <c r="D17" t="str">
        <f>INDEX(shoes_sales_dataset!C11:C1010,MATCH(J17,shoes_sales_dataset!J11:J1010,0))</f>
        <v>New Balance</v>
      </c>
      <c r="E17" t="str">
        <f>INDEX(shoes_sales_dataset!D11:D1010,MATCH(J17,shoes_sales_dataset!J11:J1010,0))</f>
        <v>Running</v>
      </c>
      <c r="F17" t="str">
        <f>INDEX(shoes_sales_dataset!E11:E1010,MATCH(J17,shoes_sales_dataset!J11:J1010,0))</f>
        <v>Grey</v>
      </c>
      <c r="G17" t="str">
        <f>INDEX(shoes_sales_dataset!F11:F1010,MATCH(J17,shoes_sales_dataset!J11:J1010,0))</f>
        <v>UAE</v>
      </c>
      <c r="H17" t="str">
        <f>INDEX(shoes_sales_dataset!G11:G1010,MATCH(J17,shoes_sales_dataset!J11:J1010,0))</f>
        <v>Online</v>
      </c>
      <c r="I17">
        <f>INDEX(shoes_sales_dataset!H11:H1010,MATCH(J17,shoes_sales_dataset!J11:J1010,0))</f>
        <v>218.2</v>
      </c>
      <c r="J17">
        <f>LARGE(shoes_sales_dataset!J11:J1010,C17)</f>
        <v>4364</v>
      </c>
    </row>
    <row r="18" spans="3:10" x14ac:dyDescent="0.25">
      <c r="C18" s="14" t="s">
        <v>1070</v>
      </c>
      <c r="D18" s="14"/>
      <c r="E18" s="14"/>
      <c r="F18" s="14"/>
      <c r="G18" s="14"/>
      <c r="H18" s="14"/>
      <c r="I18" s="10">
        <f>SUM(I8:I17)</f>
        <v>2351.9599999999996</v>
      </c>
      <c r="J18" s="10">
        <f>SUM(J8:J17)</f>
        <v>46557.52</v>
      </c>
    </row>
  </sheetData>
  <mergeCells count="1">
    <mergeCell ref="C18:H1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6B36-4B94-4294-864B-025F2271A867}">
  <dimension ref="A1:I18"/>
  <sheetViews>
    <sheetView workbookViewId="0">
      <selection activeCell="D33" sqref="D33"/>
    </sheetView>
  </sheetViews>
  <sheetFormatPr defaultRowHeight="13.2" x14ac:dyDescent="0.25"/>
  <cols>
    <col min="1" max="1" width="17.77734375" bestFit="1" customWidth="1"/>
    <col min="2" max="2" width="12" bestFit="1" customWidth="1"/>
    <col min="3" max="3" width="14" bestFit="1" customWidth="1"/>
    <col min="4" max="4" width="12" bestFit="1" customWidth="1"/>
    <col min="5" max="5" width="12.33203125" bestFit="1" customWidth="1"/>
    <col min="6" max="6" width="13.44140625" bestFit="1" customWidth="1"/>
    <col min="7" max="7" width="12" bestFit="1" customWidth="1"/>
    <col min="8" max="8" width="12.6640625" bestFit="1" customWidth="1"/>
    <col min="9" max="9" width="12.44140625" bestFit="1" customWidth="1"/>
  </cols>
  <sheetData>
    <row r="1" spans="1:9" x14ac:dyDescent="0.25">
      <c r="A1" t="s">
        <v>1045</v>
      </c>
    </row>
    <row r="2" spans="1:9" ht="13.8" thickBot="1" x14ac:dyDescent="0.3"/>
    <row r="3" spans="1:9" x14ac:dyDescent="0.25">
      <c r="A3" s="9" t="s">
        <v>1046</v>
      </c>
      <c r="B3" s="9"/>
    </row>
    <row r="4" spans="1:9" x14ac:dyDescent="0.25">
      <c r="A4" t="s">
        <v>1047</v>
      </c>
      <c r="B4">
        <v>0.59102911101228695</v>
      </c>
    </row>
    <row r="5" spans="1:9" x14ac:dyDescent="0.25">
      <c r="A5" t="s">
        <v>1048</v>
      </c>
      <c r="B5">
        <v>0.34931541006397415</v>
      </c>
    </row>
    <row r="6" spans="1:9" x14ac:dyDescent="0.25">
      <c r="A6" t="s">
        <v>1049</v>
      </c>
      <c r="B6">
        <v>0.34866342149690399</v>
      </c>
    </row>
    <row r="7" spans="1:9" x14ac:dyDescent="0.25">
      <c r="A7" t="s">
        <v>1050</v>
      </c>
      <c r="B7">
        <v>897.70782419932493</v>
      </c>
    </row>
    <row r="8" spans="1:9" ht="13.8" thickBot="1" x14ac:dyDescent="0.3">
      <c r="A8" s="7" t="s">
        <v>1051</v>
      </c>
      <c r="B8" s="7">
        <v>1000</v>
      </c>
    </row>
    <row r="10" spans="1:9" ht="13.8" thickBot="1" x14ac:dyDescent="0.3">
      <c r="A10" t="s">
        <v>1052</v>
      </c>
    </row>
    <row r="11" spans="1:9" x14ac:dyDescent="0.25">
      <c r="A11" s="8"/>
      <c r="B11" s="8" t="s">
        <v>1057</v>
      </c>
      <c r="C11" s="8" t="s">
        <v>1058</v>
      </c>
      <c r="D11" s="8" t="s">
        <v>1059</v>
      </c>
      <c r="E11" s="8" t="s">
        <v>1060</v>
      </c>
      <c r="F11" s="8" t="s">
        <v>1061</v>
      </c>
    </row>
    <row r="12" spans="1:9" x14ac:dyDescent="0.25">
      <c r="A12" t="s">
        <v>1053</v>
      </c>
      <c r="B12">
        <v>1</v>
      </c>
      <c r="C12">
        <v>431765349.12391031</v>
      </c>
      <c r="D12">
        <v>431765349.12391031</v>
      </c>
      <c r="E12">
        <v>535.76922619009861</v>
      </c>
      <c r="F12">
        <v>3.1749881892727654E-95</v>
      </c>
    </row>
    <row r="13" spans="1:9" x14ac:dyDescent="0.25">
      <c r="A13" t="s">
        <v>1054</v>
      </c>
      <c r="B13">
        <v>998</v>
      </c>
      <c r="C13">
        <v>804267578.95342863</v>
      </c>
      <c r="D13">
        <v>805879.33762868599</v>
      </c>
    </row>
    <row r="14" spans="1:9" ht="13.8" thickBot="1" x14ac:dyDescent="0.3">
      <c r="A14" s="7" t="s">
        <v>1055</v>
      </c>
      <c r="B14" s="7">
        <v>999</v>
      </c>
      <c r="C14" s="7">
        <v>1236032928.0773389</v>
      </c>
      <c r="D14" s="7"/>
      <c r="E14" s="7"/>
      <c r="F14" s="7"/>
    </row>
    <row r="15" spans="1:9" ht="13.8" thickBot="1" x14ac:dyDescent="0.3"/>
    <row r="16" spans="1:9" x14ac:dyDescent="0.25">
      <c r="A16" s="8"/>
      <c r="B16" s="8" t="s">
        <v>1062</v>
      </c>
      <c r="C16" s="8" t="s">
        <v>1050</v>
      </c>
      <c r="D16" s="8" t="s">
        <v>1063</v>
      </c>
      <c r="E16" s="8" t="s">
        <v>1064</v>
      </c>
      <c r="F16" s="8" t="s">
        <v>1065</v>
      </c>
      <c r="G16" s="8" t="s">
        <v>1066</v>
      </c>
      <c r="H16" s="8" t="s">
        <v>1067</v>
      </c>
      <c r="I16" s="8" t="s">
        <v>1068</v>
      </c>
    </row>
    <row r="17" spans="1:9" x14ac:dyDescent="0.25">
      <c r="A17" t="s">
        <v>1056</v>
      </c>
      <c r="B17">
        <v>43.055067975683414</v>
      </c>
      <c r="C17">
        <v>67.210922669617375</v>
      </c>
      <c r="D17">
        <v>0.64059629395842843</v>
      </c>
      <c r="E17">
        <v>0.52193206251240576</v>
      </c>
      <c r="F17">
        <v>-88.835872523562358</v>
      </c>
      <c r="G17">
        <v>174.94600847492919</v>
      </c>
      <c r="H17">
        <v>-88.835872523562358</v>
      </c>
      <c r="I17">
        <v>174.94600847492919</v>
      </c>
    </row>
    <row r="18" spans="1:9" ht="13.8" thickBot="1" x14ac:dyDescent="0.3">
      <c r="A18" s="7" t="s">
        <v>1069</v>
      </c>
      <c r="B18" s="7">
        <v>10.228982894117781</v>
      </c>
      <c r="C18" s="7">
        <v>0.44191991154494648</v>
      </c>
      <c r="D18" s="7">
        <v>23.146689313811148</v>
      </c>
      <c r="E18" s="7">
        <v>3.1749881892719518E-95</v>
      </c>
      <c r="F18" s="7">
        <v>9.3617840751770878</v>
      </c>
      <c r="G18" s="7">
        <v>11.096181713058474</v>
      </c>
      <c r="H18" s="7">
        <v>9.3617840751770878</v>
      </c>
      <c r="I18" s="7">
        <v>11.096181713058474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49CE-BB12-442B-A52D-8CC4431408AC}">
  <dimension ref="A3:B10"/>
  <sheetViews>
    <sheetView zoomScale="85" zoomScaleNormal="85" workbookViewId="0">
      <selection activeCell="B5" sqref="B5"/>
    </sheetView>
  </sheetViews>
  <sheetFormatPr defaultRowHeight="13.2" x14ac:dyDescent="0.25"/>
  <cols>
    <col min="1" max="1" width="14" bestFit="1" customWidth="1"/>
    <col min="2" max="2" width="21.109375" bestFit="1" customWidth="1"/>
  </cols>
  <sheetData>
    <row r="3" spans="1:2" x14ac:dyDescent="0.25">
      <c r="A3" s="11" t="s">
        <v>1071</v>
      </c>
      <c r="B3" t="s">
        <v>1072</v>
      </c>
    </row>
    <row r="4" spans="1:2" x14ac:dyDescent="0.25">
      <c r="A4" s="12" t="s">
        <v>30</v>
      </c>
      <c r="B4" s="15">
        <v>83487.159999999989</v>
      </c>
    </row>
    <row r="5" spans="1:2" x14ac:dyDescent="0.25">
      <c r="A5" s="12" t="s">
        <v>25</v>
      </c>
      <c r="B5" s="15">
        <v>64032.369999999995</v>
      </c>
    </row>
    <row r="6" spans="1:2" x14ac:dyDescent="0.25">
      <c r="A6" s="12" t="s">
        <v>11</v>
      </c>
      <c r="B6" s="15">
        <v>58210.93</v>
      </c>
    </row>
    <row r="7" spans="1:2" x14ac:dyDescent="0.25">
      <c r="A7" s="12" t="s">
        <v>34</v>
      </c>
      <c r="B7" s="15">
        <v>59793.189999999995</v>
      </c>
    </row>
    <row r="8" spans="1:2" x14ac:dyDescent="0.25">
      <c r="A8" s="12" t="s">
        <v>38</v>
      </c>
      <c r="B8" s="15">
        <v>74125.25</v>
      </c>
    </row>
    <row r="9" spans="1:2" x14ac:dyDescent="0.25">
      <c r="A9" s="12" t="s">
        <v>17</v>
      </c>
      <c r="B9" s="15">
        <v>86791.260000000009</v>
      </c>
    </row>
    <row r="10" spans="1:2" x14ac:dyDescent="0.25">
      <c r="A10" s="12" t="s">
        <v>1070</v>
      </c>
      <c r="B10" s="15">
        <v>426440.16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E502F-0CE8-4A79-8FC5-27D20820B0FF}">
  <dimension ref="A3:B16"/>
  <sheetViews>
    <sheetView workbookViewId="0">
      <selection activeCell="I27" sqref="I27"/>
    </sheetView>
  </sheetViews>
  <sheetFormatPr defaultRowHeight="13.2" x14ac:dyDescent="0.25"/>
  <cols>
    <col min="1" max="1" width="13.33203125" bestFit="1" customWidth="1"/>
    <col min="2" max="2" width="20.33203125" bestFit="1" customWidth="1"/>
  </cols>
  <sheetData>
    <row r="3" spans="1:2" x14ac:dyDescent="0.25">
      <c r="A3" s="11" t="s">
        <v>1071</v>
      </c>
      <c r="B3" t="s">
        <v>1072</v>
      </c>
    </row>
    <row r="4" spans="1:2" x14ac:dyDescent="0.25">
      <c r="A4" s="12" t="s">
        <v>1073</v>
      </c>
      <c r="B4" s="15">
        <v>102989.92000000003</v>
      </c>
    </row>
    <row r="5" spans="1:2" x14ac:dyDescent="0.25">
      <c r="A5" s="12" t="s">
        <v>1074</v>
      </c>
      <c r="B5" s="15">
        <v>128479.04999999996</v>
      </c>
    </row>
    <row r="6" spans="1:2" x14ac:dyDescent="0.25">
      <c r="A6" s="12" t="s">
        <v>1075</v>
      </c>
      <c r="B6" s="15">
        <v>117157.85999999999</v>
      </c>
    </row>
    <row r="7" spans="1:2" x14ac:dyDescent="0.25">
      <c r="A7" s="12" t="s">
        <v>1076</v>
      </c>
      <c r="B7" s="15">
        <v>115753.37</v>
      </c>
    </row>
    <row r="8" spans="1:2" x14ac:dyDescent="0.25">
      <c r="A8" s="12" t="s">
        <v>1077</v>
      </c>
      <c r="B8" s="15">
        <v>125637.77999999998</v>
      </c>
    </row>
    <row r="9" spans="1:2" x14ac:dyDescent="0.25">
      <c r="A9" s="12" t="s">
        <v>1078</v>
      </c>
      <c r="B9" s="15">
        <v>126802.88</v>
      </c>
    </row>
    <row r="10" spans="1:2" x14ac:dyDescent="0.25">
      <c r="A10" s="12" t="s">
        <v>1079</v>
      </c>
      <c r="B10" s="15">
        <v>140198.13</v>
      </c>
    </row>
    <row r="11" spans="1:2" x14ac:dyDescent="0.25">
      <c r="A11" s="12" t="s">
        <v>1080</v>
      </c>
      <c r="B11" s="15">
        <v>96240.749999999985</v>
      </c>
    </row>
    <row r="12" spans="1:2" x14ac:dyDescent="0.25">
      <c r="A12" s="12" t="s">
        <v>1081</v>
      </c>
      <c r="B12" s="15">
        <v>95768.729999999938</v>
      </c>
    </row>
    <row r="13" spans="1:2" x14ac:dyDescent="0.25">
      <c r="A13" s="12" t="s">
        <v>1082</v>
      </c>
      <c r="B13" s="15">
        <v>146726.46000000002</v>
      </c>
    </row>
    <row r="14" spans="1:2" x14ac:dyDescent="0.25">
      <c r="A14" s="12" t="s">
        <v>1083</v>
      </c>
      <c r="B14" s="15">
        <v>131542.52999999994</v>
      </c>
    </row>
    <row r="15" spans="1:2" x14ac:dyDescent="0.25">
      <c r="A15" s="12" t="s">
        <v>1084</v>
      </c>
      <c r="B15" s="15">
        <v>125888.57000000002</v>
      </c>
    </row>
    <row r="16" spans="1:2" x14ac:dyDescent="0.25">
      <c r="A16" s="12" t="s">
        <v>1070</v>
      </c>
      <c r="B16" s="15">
        <v>1453186.03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9120-D7B6-4F22-9E36-6A6966977D24}">
  <dimension ref="A3:B7"/>
  <sheetViews>
    <sheetView topLeftCell="A2" workbookViewId="0">
      <selection activeCell="O31" sqref="O31"/>
    </sheetView>
  </sheetViews>
  <sheetFormatPr defaultRowHeight="13.2" x14ac:dyDescent="0.25"/>
  <cols>
    <col min="1" max="1" width="13.33203125" bestFit="1" customWidth="1"/>
    <col min="2" max="2" width="20.33203125" bestFit="1" customWidth="1"/>
  </cols>
  <sheetData>
    <row r="3" spans="1:2" x14ac:dyDescent="0.25">
      <c r="A3" s="11" t="s">
        <v>1071</v>
      </c>
      <c r="B3" t="s">
        <v>1072</v>
      </c>
    </row>
    <row r="4" spans="1:2" x14ac:dyDescent="0.25">
      <c r="A4" s="12" t="s">
        <v>20</v>
      </c>
      <c r="B4">
        <v>479288.58000000019</v>
      </c>
    </row>
    <row r="5" spans="1:2" x14ac:dyDescent="0.25">
      <c r="A5" s="12" t="s">
        <v>15</v>
      </c>
      <c r="B5">
        <v>467772.32000000012</v>
      </c>
    </row>
    <row r="6" spans="1:2" x14ac:dyDescent="0.25">
      <c r="A6" s="12" t="s">
        <v>36</v>
      </c>
      <c r="B6">
        <v>506125.1299999996</v>
      </c>
    </row>
    <row r="7" spans="1:2" x14ac:dyDescent="0.25">
      <c r="A7" s="12" t="s">
        <v>1070</v>
      </c>
      <c r="B7">
        <v>1453186.03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9E09-3737-4524-ABCE-BBE8133A634C}">
  <dimension ref="A1:B9"/>
  <sheetViews>
    <sheetView workbookViewId="0">
      <selection activeCell="K15" sqref="K15"/>
    </sheetView>
  </sheetViews>
  <sheetFormatPr defaultRowHeight="13.2" x14ac:dyDescent="0.25"/>
  <cols>
    <col min="1" max="1" width="13.33203125" bestFit="1" customWidth="1"/>
    <col min="2" max="2" width="20.33203125" bestFit="1" customWidth="1"/>
  </cols>
  <sheetData>
    <row r="1" spans="1:2" x14ac:dyDescent="0.25">
      <c r="A1" s="11" t="s">
        <v>1071</v>
      </c>
      <c r="B1" t="s">
        <v>1072</v>
      </c>
    </row>
    <row r="2" spans="1:2" x14ac:dyDescent="0.25">
      <c r="A2" s="12" t="s">
        <v>32</v>
      </c>
      <c r="B2" s="15">
        <v>228079.03999999986</v>
      </c>
    </row>
    <row r="3" spans="1:2" x14ac:dyDescent="0.25">
      <c r="A3" s="12" t="s">
        <v>61</v>
      </c>
      <c r="B3" s="15">
        <v>199667.31000000003</v>
      </c>
    </row>
    <row r="4" spans="1:2" x14ac:dyDescent="0.25">
      <c r="A4" s="12" t="s">
        <v>42</v>
      </c>
      <c r="B4" s="15">
        <v>177959.75999999992</v>
      </c>
    </row>
    <row r="5" spans="1:2" x14ac:dyDescent="0.25">
      <c r="A5" s="12" t="s">
        <v>39</v>
      </c>
      <c r="B5" s="15">
        <v>190489.81999999998</v>
      </c>
    </row>
    <row r="6" spans="1:2" x14ac:dyDescent="0.25">
      <c r="A6" s="12" t="s">
        <v>28</v>
      </c>
      <c r="B6" s="15">
        <v>239807.55000000008</v>
      </c>
    </row>
    <row r="7" spans="1:2" x14ac:dyDescent="0.25">
      <c r="A7" s="12" t="s">
        <v>14</v>
      </c>
      <c r="B7" s="15">
        <v>186632.60999999993</v>
      </c>
    </row>
    <row r="8" spans="1:2" x14ac:dyDescent="0.25">
      <c r="A8" s="12" t="s">
        <v>19</v>
      </c>
      <c r="B8" s="15">
        <v>230549.93999999994</v>
      </c>
    </row>
    <row r="9" spans="1:2" x14ac:dyDescent="0.25">
      <c r="A9" s="12" t="s">
        <v>1070</v>
      </c>
      <c r="B9" s="15">
        <v>1453186.0299999996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50A9-DDB3-4643-A4C0-6114E0493A92}">
  <dimension ref="A3:C11"/>
  <sheetViews>
    <sheetView workbookViewId="0">
      <selection activeCell="D27" sqref="D27"/>
    </sheetView>
  </sheetViews>
  <sheetFormatPr defaultRowHeight="13.2" x14ac:dyDescent="0.25"/>
  <cols>
    <col min="1" max="1" width="13.33203125" bestFit="1" customWidth="1"/>
    <col min="2" max="2" width="17.21875" bestFit="1" customWidth="1"/>
    <col min="3" max="4" width="20.33203125" bestFit="1" customWidth="1"/>
  </cols>
  <sheetData>
    <row r="3" spans="1:3" x14ac:dyDescent="0.25">
      <c r="A3" s="11" t="s">
        <v>1071</v>
      </c>
      <c r="B3" t="s">
        <v>1085</v>
      </c>
      <c r="C3" t="s">
        <v>1072</v>
      </c>
    </row>
    <row r="4" spans="1:3" x14ac:dyDescent="0.25">
      <c r="A4" s="12" t="s">
        <v>32</v>
      </c>
      <c r="B4" s="15">
        <v>21934.400000000001</v>
      </c>
      <c r="C4" s="15">
        <v>228079.03999999986</v>
      </c>
    </row>
    <row r="5" spans="1:3" x14ac:dyDescent="0.25">
      <c r="A5" s="12" t="s">
        <v>61</v>
      </c>
      <c r="B5" s="15">
        <v>17637.669999999998</v>
      </c>
      <c r="C5" s="15">
        <v>199667.31000000003</v>
      </c>
    </row>
    <row r="6" spans="1:3" x14ac:dyDescent="0.25">
      <c r="A6" s="12" t="s">
        <v>42</v>
      </c>
      <c r="B6" s="15">
        <v>20025.550000000003</v>
      </c>
      <c r="C6" s="15">
        <v>177959.75999999992</v>
      </c>
    </row>
    <row r="7" spans="1:3" x14ac:dyDescent="0.25">
      <c r="A7" s="12" t="s">
        <v>39</v>
      </c>
      <c r="B7" s="15">
        <v>17032.269999999993</v>
      </c>
      <c r="C7" s="15">
        <v>190489.81999999998</v>
      </c>
    </row>
    <row r="8" spans="1:3" x14ac:dyDescent="0.25">
      <c r="A8" s="12" t="s">
        <v>28</v>
      </c>
      <c r="B8" s="15">
        <v>22485.55000000001</v>
      </c>
      <c r="C8" s="15">
        <v>239807.55000000008</v>
      </c>
    </row>
    <row r="9" spans="1:3" x14ac:dyDescent="0.25">
      <c r="A9" s="12" t="s">
        <v>14</v>
      </c>
      <c r="B9" s="15">
        <v>17801.23000000001</v>
      </c>
      <c r="C9" s="15">
        <v>186632.60999999993</v>
      </c>
    </row>
    <row r="10" spans="1:3" x14ac:dyDescent="0.25">
      <c r="A10" s="12" t="s">
        <v>19</v>
      </c>
      <c r="B10" s="15">
        <v>20939.750000000018</v>
      </c>
      <c r="C10" s="15">
        <v>230549.93999999994</v>
      </c>
    </row>
    <row r="11" spans="1:3" x14ac:dyDescent="0.25">
      <c r="A11" s="12" t="s">
        <v>1070</v>
      </c>
      <c r="B11" s="15">
        <v>137856.42000000004</v>
      </c>
      <c r="C11" s="15">
        <v>1453186.0299999996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A804-2E09-4DF1-A7A3-757D8143A79D}">
  <dimension ref="A3:C10"/>
  <sheetViews>
    <sheetView workbookViewId="0">
      <selection activeCell="H28" sqref="H28"/>
    </sheetView>
  </sheetViews>
  <sheetFormatPr defaultRowHeight="13.2" x14ac:dyDescent="0.25"/>
  <cols>
    <col min="1" max="1" width="14.109375" bestFit="1" customWidth="1"/>
    <col min="2" max="2" width="21" bestFit="1" customWidth="1"/>
    <col min="3" max="4" width="20.33203125" bestFit="1" customWidth="1"/>
  </cols>
  <sheetData>
    <row r="3" spans="1:3" x14ac:dyDescent="0.25">
      <c r="A3" s="11" t="s">
        <v>1071</v>
      </c>
      <c r="B3" t="s">
        <v>1086</v>
      </c>
      <c r="C3" t="s">
        <v>1072</v>
      </c>
    </row>
    <row r="4" spans="1:3" x14ac:dyDescent="0.25">
      <c r="A4" s="12" t="s">
        <v>30</v>
      </c>
      <c r="B4" s="15">
        <v>231335.13599999997</v>
      </c>
      <c r="C4" s="15">
        <v>257039.03999999989</v>
      </c>
    </row>
    <row r="5" spans="1:3" x14ac:dyDescent="0.25">
      <c r="A5" s="12" t="s">
        <v>25</v>
      </c>
      <c r="B5" s="15">
        <v>235468.51199999999</v>
      </c>
      <c r="C5" s="15">
        <v>261631.67999999993</v>
      </c>
    </row>
    <row r="6" spans="1:3" x14ac:dyDescent="0.25">
      <c r="A6" s="12" t="s">
        <v>11</v>
      </c>
      <c r="B6" s="15">
        <v>173313.2950000001</v>
      </c>
      <c r="C6" s="15">
        <v>192770.14999999997</v>
      </c>
    </row>
    <row r="7" spans="1:3" x14ac:dyDescent="0.25">
      <c r="A7" s="12" t="s">
        <v>34</v>
      </c>
      <c r="B7" s="15">
        <v>210374.63099999994</v>
      </c>
      <c r="C7" s="15">
        <v>233749.59</v>
      </c>
    </row>
    <row r="8" spans="1:3" x14ac:dyDescent="0.25">
      <c r="A8" s="12" t="s">
        <v>38</v>
      </c>
      <c r="B8" s="15">
        <v>214944.2459999999</v>
      </c>
      <c r="C8" s="15">
        <v>238826.94000000003</v>
      </c>
    </row>
    <row r="9" spans="1:3" x14ac:dyDescent="0.25">
      <c r="A9" s="12" t="s">
        <v>17</v>
      </c>
      <c r="B9" s="15">
        <v>242156.10299999992</v>
      </c>
      <c r="C9" s="15">
        <v>269168.63000000006</v>
      </c>
    </row>
    <row r="10" spans="1:3" x14ac:dyDescent="0.25">
      <c r="A10" s="12" t="s">
        <v>1070</v>
      </c>
      <c r="B10" s="15">
        <v>1307591.9229999997</v>
      </c>
      <c r="C10" s="15">
        <v>1453186.03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shoes_sales_dataset</vt:lpstr>
      <vt:lpstr>Dashboard</vt:lpstr>
      <vt:lpstr>Filter By Shoe Type</vt:lpstr>
      <vt:lpstr>Top 10 Customer</vt:lpstr>
      <vt:lpstr>Linear Regression</vt:lpstr>
      <vt:lpstr>Revenue by Brand</vt:lpstr>
      <vt:lpstr>Monthly Sales</vt:lpstr>
      <vt:lpstr>Sales Channel Share</vt:lpstr>
      <vt:lpstr>Revenue by Country</vt:lpstr>
      <vt:lpstr>Price and Reavenue by Country</vt:lpstr>
      <vt:lpstr>Sum Revenue &amp; Sum Adjust Revenu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OMEN</dc:creator>
  <dc:description/>
  <cp:lastModifiedBy>om gajjar</cp:lastModifiedBy>
  <cp:revision>0</cp:revision>
  <dcterms:created xsi:type="dcterms:W3CDTF">2026-05-05T12:10:44Z</dcterms:created>
  <dcterms:modified xsi:type="dcterms:W3CDTF">2026-05-05T12:10:44Z</dcterms:modified>
  <dc:language>en-US</dc:language>
</cp:coreProperties>
</file>